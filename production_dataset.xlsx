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Windows\Downloads\"/>
    </mc:Choice>
  </mc:AlternateContent>
  <xr:revisionPtr revIDLastSave="0" documentId="13_ncr:1_{72884435-4B54-4CDA-A0D6-51AC9E55695C}" xr6:coauthVersionLast="47" xr6:coauthVersionMax="47" xr10:uidLastSave="{00000000-0000-0000-0000-000000000000}"/>
  <bookViews>
    <workbookView xWindow="-120" yWindow="-120" windowWidth="20730" windowHeight="11760" activeTab="2" xr2:uid="{00000000-000D-0000-FFFF-FFFF00000000}"/>
  </bookViews>
  <sheets>
    <sheet name="Production Data" sheetId="1" r:id="rId1"/>
    <sheet name="Pivot Table" sheetId="2" r:id="rId2"/>
    <sheet name="dashbord" sheetId="3" r:id="rId3"/>
  </sheets>
  <definedNames>
    <definedName name="Slicer_Date">#N/A</definedName>
    <definedName name="Slicer_Machine_ID">#N/A</definedName>
    <definedName name="Slicer_Shif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2" i="1"/>
  <c r="O21" i="3"/>
  <c r="O18" i="3"/>
</calcChain>
</file>

<file path=xl/sharedStrings.xml><?xml version="1.0" encoding="utf-8"?>
<sst xmlns="http://schemas.openxmlformats.org/spreadsheetml/2006/main" count="544" uniqueCount="73">
  <si>
    <t>Date</t>
  </si>
  <si>
    <t>Machine_ID</t>
  </si>
  <si>
    <t>Shift</t>
  </si>
  <si>
    <t>Production_kg</t>
  </si>
  <si>
    <t>Waste_kg</t>
  </si>
  <si>
    <t>01-01-2026</t>
  </si>
  <si>
    <t>M1</t>
  </si>
  <si>
    <t>Night</t>
  </si>
  <si>
    <t>Day</t>
  </si>
  <si>
    <t>M2</t>
  </si>
  <si>
    <t>02-01-2026</t>
  </si>
  <si>
    <t>03-01-2026</t>
  </si>
  <si>
    <t>M3</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</si>
  <si>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</si>
  <si>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</si>
  <si>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</si>
  <si>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</si>
  <si>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</si>
  <si>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</si>
  <si>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</si>
  <si>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</si>
  <si>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</si>
  <si>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</si>
  <si>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</si>
  <si>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</si>
  <si>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</si>
  <si>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</si>
  <si>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</si>
  <si>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</si>
  <si>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</si>
  <si>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</si>
  <si>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</si>
  <si>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</si>
  <si>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</si>
  <si>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</si>
  <si>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</si>
  <si>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</si>
  <si>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</si>
  <si>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</si>
  <si>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</si>
  <si>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</si>
  <si>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</si>
  <si>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</si>
  <si>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</si>
  <si>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</si>
  <si>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</si>
  <si>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</si>
  <si>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</si>
  <si>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</si>
  <si>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</si>
  <si>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</si>
  <si>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11-02-2026</t>
  </si>
  <si>
    <t>12-02-2026</t>
  </si>
  <si>
    <t>13-02-2026</t>
  </si>
  <si>
    <t>14-02-2026</t>
  </si>
  <si>
    <t>15-02-2026</t>
  </si>
  <si>
    <t>16-02-2026</t>
  </si>
  <si>
    <t>17-02-2026</t>
  </si>
  <si>
    <t>18-02-2026</t>
  </si>
  <si>
    <t>19-02-2026</t>
  </si>
  <si>
    <t>weste %</t>
  </si>
  <si>
    <t>Row Labels</t>
  </si>
  <si>
    <t>Grand Total</t>
  </si>
  <si>
    <t>Sum of Production_kg</t>
  </si>
  <si>
    <t>Sum of Waste_kg</t>
  </si>
  <si>
    <t>Sum of weste %</t>
  </si>
  <si>
    <t>Dashbord Of Production Analysis</t>
  </si>
  <si>
    <t xml:space="preserve">Date Trend </t>
  </si>
  <si>
    <t>Waste Analysis</t>
  </si>
  <si>
    <t>Total productions</t>
  </si>
  <si>
    <t>Total Production</t>
  </si>
  <si>
    <t xml:space="preserve">Total Waste </t>
  </si>
  <si>
    <t xml:space="preserve">Waste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</si>
</sst>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sz val="28"/>
      <color theme="0"/>
      <name val="Arial Black"/>
      <family val="2"/>
    </font>
    <font>
      <sz val="11"/>
      <color theme="0"/>
      <name val="Arial Black"/>
      <family val="2"/>
    </font>
    <font>
      <b/>
      <sz val="26"/>
      <color theme="1"/>
      <name val="Calibri"/>
      <family val="2"/>
      <scheme val="minor"/>
    </font>
    <font>
      <b/>
      <sz val="28"/>
      <color theme="1"/>
      <name val="Calibri"/>
      <family val="2"/>
      <scheme val="minor"/>
    </font>
  </fonts>
  <fills count="4">
    <fill>
      <patternFill patternType="none"/>
    </fill>
    <fill>
      <patternFill patternType="gray125"/>
    </fill>
    <fill>
      <patternFill patternType="solid">
        <fgColor theme="2" tint="-0.749992370372631"/>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2" fillId="0" borderId="1" xfId="0" applyFont="1" applyBorder="1"/>
    <xf numFmtId="0" fontId="2" fillId="0" borderId="1" xfId="0" applyFont="1" applyFill="1" applyBorder="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0" fontId="0" fillId="3" borderId="5" xfId="0" applyFill="1" applyBorder="1" applyAlignment="1"/>
    <xf numFmtId="0" fontId="0" fillId="3" borderId="0" xfId="0" applyFill="1" applyBorder="1" applyAlignment="1"/>
    <xf numFmtId="0" fontId="0" fillId="3" borderId="6" xfId="0" applyFill="1" applyBorder="1" applyAlignment="1"/>
    <xf numFmtId="0" fontId="0" fillId="3" borderId="7" xfId="0" applyFill="1" applyBorder="1" applyAlignment="1"/>
    <xf numFmtId="0" fontId="0" fillId="3" borderId="8" xfId="0" applyFill="1" applyBorder="1" applyAlignment="1"/>
    <xf numFmtId="0" fontId="0" fillId="3" borderId="9" xfId="0" applyFill="1" applyBorder="1" applyAlignment="1"/>
    <xf numFmtId="0" fontId="0" fillId="3" borderId="2" xfId="0" applyFill="1" applyBorder="1" applyAlignment="1"/>
    <xf numFmtId="0" fontId="0" fillId="3" borderId="3" xfId="0" applyFill="1" applyBorder="1" applyAlignment="1"/>
    <xf numFmtId="0" fontId="0" fillId="3" borderId="4" xfId="0" applyFill="1" applyBorder="1" applyAlignment="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2" fillId="3" borderId="0" xfId="0" applyFont="1" applyFill="1" applyBorder="1" applyAlignment="1">
      <alignment horizontal="center" vertical="center"/>
    </xf>
    <xf numFmtId="0" fontId="5" fillId="3" borderId="0" xfId="0" applyFont="1" applyFill="1" applyBorder="1" applyAlignment="1">
      <alignment horizontal="center" vertical="center"/>
    </xf>
    <xf numFmtId="0" fontId="0" fillId="3" borderId="0" xfId="0" applyFill="1" applyBorder="1" applyAlignment="1">
      <alignment horizontal="center" vertical="center"/>
    </xf>
    <xf numFmtId="0" fontId="6" fillId="3" borderId="0" xfId="0" applyFont="1" applyFill="1" applyBorder="1" applyAlignment="1">
      <alignment horizontal="center" vertical="center"/>
    </xf>
    <xf numFmtId="0" fontId="0" fillId="3" borderId="0" xfId="0" applyNumberFormat="1" applyFill="1" applyBorder="1" applyAlignment="1">
      <alignment horizontal="center"/>
    </xf>
    <xf numFmtId="0" fontId="3" fillId="2" borderId="2" xfId="0" applyFont="1" applyFill="1" applyBorder="1" applyAlignment="1">
      <alignment horizontal="left" vertical="top"/>
    </xf>
    <xf numFmtId="0" fontId="4" fillId="2" borderId="3" xfId="0" applyFont="1" applyFill="1" applyBorder="1" applyAlignment="1">
      <alignment horizontal="left" vertical="top"/>
    </xf>
    <xf numFmtId="0" fontId="4" fillId="2" borderId="4" xfId="0" applyFont="1" applyFill="1" applyBorder="1" applyAlignment="1">
      <alignment horizontal="left" vertical="top"/>
    </xf>
    <xf numFmtId="0" fontId="4" fillId="2" borderId="5" xfId="0" applyFont="1" applyFill="1" applyBorder="1" applyAlignment="1">
      <alignment horizontal="left" vertical="top"/>
    </xf>
    <xf numFmtId="0" fontId="4" fillId="2" borderId="0" xfId="0" applyFont="1" applyFill="1" applyBorder="1" applyAlignment="1">
      <alignment horizontal="left" vertical="top"/>
    </xf>
    <xf numFmtId="0" fontId="4" fillId="2" borderId="6" xfId="0" applyFont="1" applyFill="1" applyBorder="1" applyAlignment="1">
      <alignment horizontal="left" vertical="top"/>
    </xf>
    <xf numFmtId="0" fontId="4" fillId="2" borderId="7" xfId="0" applyFont="1" applyFill="1" applyBorder="1" applyAlignment="1">
      <alignment horizontal="left" vertical="top"/>
    </xf>
    <xf numFmtId="0" fontId="4" fillId="2" borderId="8" xfId="0" applyFont="1" applyFill="1" applyBorder="1" applyAlignment="1">
      <alignment horizontal="left" vertical="top"/>
    </xf>
    <xf numFmtId="0" fontId="4" fillId="2" borderId="9" xfId="0" applyFont="1" applyFill="1" applyBorder="1" applyAlignment="1">
      <alignment horizontal="left" vertical="top"/>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[production_dataset.xlsx]Pivot Table!PivotTable1</c:name>
    <c:fmtId val="2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Prodoction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Table'!$A$4:$A$7</c:f>
              <c:strCache>
                <c:ptCount val="3"/>
                <c:pt idx="0">
                  <c:v>M1</c:v>
                </c:pt>
                <c:pt idx="1">
                  <c:v>M2</c:v>
                </c:pt>
                <c:pt idx="2">
                  <c:v>M3</c:v>
                </c:pt>
              </c:strCache>
            </c:strRef>
          </c:cat>
          <c:val>
            <c:numRef>
              <c:f>'Pivot Table'!$B$4:$B$7</c:f>
              <c:numCache>
                <c:formatCode>General</c:formatCode>
                <c:ptCount val="3"/>
                <c:pt idx="0">
                  <c:v>34953</c:v>
                </c:pt>
                <c:pt idx="1">
                  <c:v>24682</c:v>
                </c:pt>
                <c:pt idx="2">
                  <c:v>22236</c:v>
                </c:pt>
              </c:numCache>
            </c:numRef>
          </c:val>
          <c:extLst>
            <c:ext xmlns:c16="http://schemas.microsoft.com/office/drawing/2014/chart" uri="{C3380CC4-5D6E-409C-BE32-E72D297353CC}">
              <c16:uniqueId val="{00000000-CBB2-4085-9A6D-5BB928E8AB1E}"/>
            </c:ext>
          </c:extLst>
        </c:ser>
        <c:dLbls>
          <c:showLegendKey val="0"/>
          <c:showVal val="0"/>
          <c:showCatName val="0"/>
          <c:showSerName val="0"/>
          <c:showPercent val="0"/>
          <c:showBubbleSize val="0"/>
        </c:dLbls>
        <c:gapWidth val="326"/>
        <c:overlap val="-58"/>
        <c:axId val="2023185376"/>
        <c:axId val="49483760"/>
      </c:barChart>
      <c:catAx>
        <c:axId val="202318537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83760"/>
        <c:crosses val="autoZero"/>
        <c:auto val="1"/>
        <c:lblAlgn val="ctr"/>
        <c:lblOffset val="100"/>
        <c:noMultiLvlLbl val="0"/>
      </c:catAx>
      <c:valAx>
        <c:axId val="4948376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18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[production_dataset.xlsx]Pivot Table!PivotTable2</c:name>
    <c:fmtId val="2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Waste Analysis</a:t>
            </a:r>
          </a:p>
        </c:rich>
      </c:tx>
      <c:layout>
        <c:manualLayout>
          <c:xMode val="edge"/>
          <c:yMode val="edge"/>
          <c:x val="0.30042264505207761"/>
          <c:y val="3.9783861900922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Table'!$B$11</c:f>
              <c:strCache>
                <c:ptCount val="1"/>
                <c:pt idx="0">
                  <c:v>Sum of Waste_kg</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Table'!$A$12:$A$15</c:f>
              <c:strCache>
                <c:ptCount val="3"/>
                <c:pt idx="0">
                  <c:v>M1</c:v>
                </c:pt>
                <c:pt idx="1">
                  <c:v>M2</c:v>
                </c:pt>
                <c:pt idx="2">
                  <c:v>M3</c:v>
                </c:pt>
              </c:strCache>
            </c:strRef>
          </c:cat>
          <c:val>
            <c:numRef>
              <c:f>'Pivot Table'!$B$12:$B$15</c:f>
              <c:numCache>
                <c:formatCode>General</c:formatCode>
                <c:ptCount val="3"/>
                <c:pt idx="0">
                  <c:v>1863</c:v>
                </c:pt>
                <c:pt idx="1">
                  <c:v>1232</c:v>
                </c:pt>
                <c:pt idx="2">
                  <c:v>1184</c:v>
                </c:pt>
              </c:numCache>
            </c:numRef>
          </c:val>
          <c:extLst>
            <c:ext xmlns:c16="http://schemas.microsoft.com/office/drawing/2014/chart" uri="{C3380CC4-5D6E-409C-BE32-E72D297353CC}">
              <c16:uniqueId val="{00000000-96FC-4F87-954B-6730589B198F}"/>
            </c:ext>
          </c:extLst>
        </c:ser>
        <c:ser>
          <c:idx val="1"/>
          <c:order val="1"/>
          <c:tx>
            <c:strRef>
              <c:f>'Pivot Table'!$C$11</c:f>
              <c:strCache>
                <c:ptCount val="1"/>
                <c:pt idx="0">
                  <c:v>Sum of weste %</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 Table'!$A$12:$A$15</c:f>
              <c:strCache>
                <c:ptCount val="3"/>
                <c:pt idx="0">
                  <c:v>M1</c:v>
                </c:pt>
                <c:pt idx="1">
                  <c:v>M2</c:v>
                </c:pt>
                <c:pt idx="2">
                  <c:v>M3</c:v>
                </c:pt>
              </c:strCache>
            </c:strRef>
          </c:cat>
          <c:val>
            <c:numRef>
              <c:f>'Pivot Table'!$C$12:$C$15</c:f>
              <c:numCache>
                <c:formatCode>General</c:formatCode>
                <c:ptCount val="3"/>
                <c:pt idx="0">
                  <c:v>347.8230309501331</c:v>
                </c:pt>
                <c:pt idx="1">
                  <c:v>232.68086236885097</c:v>
                </c:pt>
                <c:pt idx="2">
                  <c:v>222.877889230314</c:v>
                </c:pt>
              </c:numCache>
            </c:numRef>
          </c:val>
          <c:extLst>
            <c:ext xmlns:c16="http://schemas.microsoft.com/office/drawing/2014/chart" uri="{C3380CC4-5D6E-409C-BE32-E72D297353CC}">
              <c16:uniqueId val="{00000001-96FC-4F87-954B-6730589B198F}"/>
            </c:ext>
          </c:extLst>
        </c:ser>
        <c:dLbls>
          <c:showLegendKey val="0"/>
          <c:showVal val="0"/>
          <c:showCatName val="0"/>
          <c:showSerName val="0"/>
          <c:showPercent val="0"/>
          <c:showBubbleSize val="0"/>
        </c:dLbls>
        <c:gapWidth val="160"/>
        <c:gapDepth val="0"/>
        <c:shape val="box"/>
        <c:axId val="52625744"/>
        <c:axId val="52626992"/>
        <c:axId val="0"/>
      </c:bar3DChart>
      <c:catAx>
        <c:axId val="5262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26992"/>
        <c:crosses val="autoZero"/>
        <c:auto val="1"/>
        <c:lblAlgn val="ctr"/>
        <c:lblOffset val="100"/>
        <c:noMultiLvlLbl val="0"/>
      </c:catAx>
      <c:valAx>
        <c:axId val="52626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2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64499298012227E-2"/>
          <c:y val="0.19402079285509211"/>
          <c:w val="0.88741229090205298"/>
          <c:h val="0.60005495301227074"/>
        </c:manualLayout>
      </c:layout>
      <c:lineChart>
        <c:grouping val="stacked"/>
        <c:varyColors val="0"/>
        <c:ser>
          <c:idx val="0"/>
          <c:order val="0"/>
          <c:tx>
            <c:strRef>
              <c:f>'Pivot Table'!$B$18</c:f>
              <c:strCache>
                <c:ptCount val="1"/>
                <c:pt idx="0">
                  <c:v>Total</c:v>
                </c:pt>
              </c:strCache>
            </c:strRef>
          </c:tx>
          <c:spPr>
            <a:ln w="28575" cap="rnd">
              <a:solidFill>
                <a:schemeClr val="accent1"/>
              </a:solidFill>
              <a:round/>
            </a:ln>
            <a:effectLst/>
          </c:spPr>
          <c:marker>
            <c:symbol val="none"/>
          </c:marker>
          <c:cat>
            <c:strRef>
              <c:f>'Pivot Table'!$A$19:$A$69</c:f>
              <c:strCache>
                <c:ptCount val="50"/>
                <c:pt idx="0">
                  <c:v>01-01-2026</c:v>
                </c:pt>
                <c:pt idx="1">
                  <c:v>01-02-2026</c:v>
                </c:pt>
                <c:pt idx="2">
                  <c:v>02-01-2026</c:v>
                </c:pt>
                <c:pt idx="3">
                  <c:v>02-02-2026</c:v>
                </c:pt>
                <c:pt idx="4">
                  <c:v>03-01-2026</c:v>
                </c:pt>
                <c:pt idx="5">
                  <c:v>03-02-2026</c:v>
                </c:pt>
                <c:pt idx="6">
                  <c:v>04-01-2026</c:v>
                </c:pt>
                <c:pt idx="7">
                  <c:v>04-02-2026</c:v>
                </c:pt>
                <c:pt idx="8">
                  <c:v>05-01-2026</c:v>
                </c:pt>
                <c:pt idx="9">
                  <c:v>05-02-2026</c:v>
                </c:pt>
                <c:pt idx="10">
                  <c:v>06-01-2026</c:v>
                </c:pt>
                <c:pt idx="11">
                  <c:v>06-02-2026</c:v>
                </c:pt>
                <c:pt idx="12">
                  <c:v>07-01-2026</c:v>
                </c:pt>
                <c:pt idx="13">
                  <c:v>07-02-2026</c:v>
                </c:pt>
                <c:pt idx="14">
                  <c:v>08-01-2026</c:v>
                </c:pt>
                <c:pt idx="15">
                  <c:v>08-02-2026</c:v>
                </c:pt>
                <c:pt idx="16">
                  <c:v>09-01-2026</c:v>
                </c:pt>
                <c:pt idx="17">
                  <c:v>09-02-2026</c:v>
                </c:pt>
                <c:pt idx="18">
                  <c:v>10-01-2026</c:v>
                </c:pt>
                <c:pt idx="19">
                  <c:v>10-02-2026</c:v>
                </c:pt>
                <c:pt idx="20">
                  <c:v>11-01-2026</c:v>
                </c:pt>
                <c:pt idx="21">
                  <c:v>11-02-2026</c:v>
                </c:pt>
                <c:pt idx="22">
                  <c:v>12-01-2026</c:v>
                </c:pt>
                <c:pt idx="23">
                  <c:v>12-02-2026</c:v>
                </c:pt>
                <c:pt idx="24">
                  <c:v>13-01-2026</c:v>
                </c:pt>
                <c:pt idx="25">
                  <c:v>13-02-2026</c:v>
                </c:pt>
                <c:pt idx="26">
                  <c:v>14-01-2026</c:v>
                </c:pt>
                <c:pt idx="27">
                  <c:v>14-02-2026</c:v>
                </c:pt>
                <c:pt idx="28">
                  <c:v>15-01-2026</c:v>
                </c:pt>
                <c:pt idx="29">
                  <c:v>15-02-2026</c:v>
                </c:pt>
                <c:pt idx="30">
                  <c:v>16-01-2026</c:v>
                </c:pt>
                <c:pt idx="31">
                  <c:v>16-02-2026</c:v>
                </c:pt>
                <c:pt idx="32">
                  <c:v>17-01-2026</c:v>
                </c:pt>
                <c:pt idx="33">
                  <c:v>17-02-2026</c:v>
                </c:pt>
                <c:pt idx="34">
                  <c:v>18-01-2026</c:v>
                </c:pt>
                <c:pt idx="35">
                  <c:v>18-02-2026</c:v>
                </c:pt>
                <c:pt idx="36">
                  <c:v>19-01-2026</c:v>
                </c:pt>
                <c:pt idx="37">
                  <c:v>19-02-2026</c:v>
                </c:pt>
                <c:pt idx="38">
                  <c:v>20-01-2026</c:v>
                </c:pt>
                <c:pt idx="39">
                  <c:v>21-01-2026</c:v>
                </c:pt>
                <c:pt idx="40">
                  <c:v>22-01-2026</c:v>
                </c:pt>
                <c:pt idx="41">
                  <c:v>23-01-2026</c:v>
                </c:pt>
                <c:pt idx="42">
                  <c:v>24-01-2026</c:v>
                </c:pt>
                <c:pt idx="43">
                  <c:v>25-01-2026</c:v>
                </c:pt>
                <c:pt idx="44">
                  <c:v>26-01-2026</c:v>
                </c:pt>
                <c:pt idx="45">
                  <c:v>27-01-2026</c:v>
                </c:pt>
                <c:pt idx="46">
                  <c:v>28-01-2026</c:v>
                </c:pt>
                <c:pt idx="47">
                  <c:v>29-01-2026</c:v>
                </c:pt>
                <c:pt idx="48">
                  <c:v>30-01-2026</c:v>
                </c:pt>
                <c:pt idx="49">
                  <c:v>31-01-2026</c:v>
                </c:pt>
              </c:strCache>
            </c:strRef>
          </c:cat>
          <c:val>
            <c:numRef>
              <c:f>'Pivot Table'!$B$19:$B$69</c:f>
              <c:numCache>
                <c:formatCode>General</c:formatCode>
                <c:ptCount val="50"/>
                <c:pt idx="0">
                  <c:v>1446</c:v>
                </c:pt>
                <c:pt idx="1">
                  <c:v>1613</c:v>
                </c:pt>
                <c:pt idx="2">
                  <c:v>1776</c:v>
                </c:pt>
                <c:pt idx="3">
                  <c:v>1608</c:v>
                </c:pt>
                <c:pt idx="4">
                  <c:v>1465</c:v>
                </c:pt>
                <c:pt idx="5">
                  <c:v>1861</c:v>
                </c:pt>
                <c:pt idx="6">
                  <c:v>1504</c:v>
                </c:pt>
                <c:pt idx="7">
                  <c:v>1426</c:v>
                </c:pt>
                <c:pt idx="8">
                  <c:v>1777</c:v>
                </c:pt>
                <c:pt idx="9">
                  <c:v>1647</c:v>
                </c:pt>
                <c:pt idx="10">
                  <c:v>1872</c:v>
                </c:pt>
                <c:pt idx="11">
                  <c:v>1647</c:v>
                </c:pt>
                <c:pt idx="12">
                  <c:v>1491</c:v>
                </c:pt>
                <c:pt idx="13">
                  <c:v>1704</c:v>
                </c:pt>
                <c:pt idx="14">
                  <c:v>1775</c:v>
                </c:pt>
                <c:pt idx="15">
                  <c:v>1666</c:v>
                </c:pt>
                <c:pt idx="16">
                  <c:v>1790</c:v>
                </c:pt>
                <c:pt idx="17">
                  <c:v>1435</c:v>
                </c:pt>
                <c:pt idx="18">
                  <c:v>1862</c:v>
                </c:pt>
                <c:pt idx="19">
                  <c:v>1814</c:v>
                </c:pt>
                <c:pt idx="20">
                  <c:v>1904</c:v>
                </c:pt>
                <c:pt idx="21">
                  <c:v>1769</c:v>
                </c:pt>
                <c:pt idx="22">
                  <c:v>1844</c:v>
                </c:pt>
                <c:pt idx="23">
                  <c:v>1542</c:v>
                </c:pt>
                <c:pt idx="24">
                  <c:v>1579</c:v>
                </c:pt>
                <c:pt idx="25">
                  <c:v>1342</c:v>
                </c:pt>
                <c:pt idx="26">
                  <c:v>1836</c:v>
                </c:pt>
                <c:pt idx="27">
                  <c:v>1886</c:v>
                </c:pt>
                <c:pt idx="28">
                  <c:v>1482</c:v>
                </c:pt>
                <c:pt idx="29">
                  <c:v>1701</c:v>
                </c:pt>
                <c:pt idx="30">
                  <c:v>1802</c:v>
                </c:pt>
                <c:pt idx="31">
                  <c:v>1927</c:v>
                </c:pt>
                <c:pt idx="32">
                  <c:v>1553</c:v>
                </c:pt>
                <c:pt idx="33">
                  <c:v>1625</c:v>
                </c:pt>
                <c:pt idx="34">
                  <c:v>1633</c:v>
                </c:pt>
                <c:pt idx="35">
                  <c:v>1598</c:v>
                </c:pt>
                <c:pt idx="36">
                  <c:v>1781</c:v>
                </c:pt>
                <c:pt idx="37">
                  <c:v>1727</c:v>
                </c:pt>
                <c:pt idx="38">
                  <c:v>1792</c:v>
                </c:pt>
                <c:pt idx="39">
                  <c:v>1413</c:v>
                </c:pt>
                <c:pt idx="40">
                  <c:v>1712</c:v>
                </c:pt>
                <c:pt idx="41">
                  <c:v>1328</c:v>
                </c:pt>
                <c:pt idx="42">
                  <c:v>1540</c:v>
                </c:pt>
                <c:pt idx="43">
                  <c:v>1345</c:v>
                </c:pt>
                <c:pt idx="44">
                  <c:v>1327</c:v>
                </c:pt>
                <c:pt idx="45">
                  <c:v>1324</c:v>
                </c:pt>
                <c:pt idx="46">
                  <c:v>1790</c:v>
                </c:pt>
                <c:pt idx="47">
                  <c:v>1664</c:v>
                </c:pt>
                <c:pt idx="48">
                  <c:v>1422</c:v>
                </c:pt>
                <c:pt idx="49">
                  <c:v>1504</c:v>
                </c:pt>
              </c:numCache>
            </c:numRef>
          </c:val>
          <c:smooth val="0"/>
          <c:extLst>
            <c:ext xmlns:c16="http://schemas.microsoft.com/office/drawing/2014/chart" uri="{C3380CC4-5D6E-409C-BE32-E72D297353CC}">
              <c16:uniqueId val="{00000000-5B78-4BFC-AA47-827E3242F36A}"/>
            </c:ext>
          </c:extLst>
        </c:ser>
        <c:dLbls>
          <c:showLegendKey val="0"/>
          <c:showVal val="0"/>
          <c:showCatName val="0"/>
          <c:showSerName val="0"/>
          <c:showPercent val="0"/>
          <c:showBubbleSize val="0"/>
        </c:dLbls>
        <c:smooth val="0"/>
        <c:axId val="55821120"/>
        <c:axId val="55821952"/>
      </c:lineChart>
      <c:catAx>
        <c:axId val="55821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1952"/>
        <c:crosses val="autoZero"/>
        <c:auto val="1"/>
        <c:lblAlgn val="ctr"/>
        <c:lblOffset val="100"/>
        <c:noMultiLvlLbl val="0"/>
      </c:catAx>
      <c:valAx>
        <c:axId val="558219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[production_dataset.xlsx]Pivot 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Table'!$G$20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93-499B-98A9-D068639319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93-499B-98A9-D068639319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93-499B-98A9-D068639319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Table'!$F$21:$F$24</c:f>
              <c:strCache>
                <c:ptCount val="3"/>
                <c:pt idx="0">
                  <c:v>M1</c:v>
                </c:pt>
                <c:pt idx="1">
                  <c:v>M2</c:v>
                </c:pt>
                <c:pt idx="2">
                  <c:v>M3</c:v>
                </c:pt>
              </c:strCache>
            </c:strRef>
          </c:cat>
          <c:val>
            <c:numRef>
              <c:f>'Pivot Table'!$G$21:$G$24</c:f>
              <c:numCache>
                <c:formatCode>General</c:formatCode>
                <c:ptCount val="3"/>
                <c:pt idx="0">
                  <c:v>34953</c:v>
                </c:pt>
                <c:pt idx="1">
                  <c:v>24682</c:v>
                </c:pt>
                <c:pt idx="2">
                  <c:v>22236</c:v>
                </c:pt>
              </c:numCache>
            </c:numRef>
          </c:val>
          <c:extLst>
            <c:ext xmlns:c16="http://schemas.microsoft.com/office/drawing/2014/chart" uri="{C3380CC4-5D6E-409C-BE32-E72D297353CC}">
              <c16:uniqueId val="{00000006-6293-499B-98A9-D0686393192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3</xdr:row>
      <xdr:rowOff>152399</xdr:rowOff>
    </xdr:from>
    <xdr:to>
      <xdr:col>7</xdr:col>
      <xdr:colOff>504825</xdr:colOff>
      <xdr:row>17</xdr:row>
      <xdr:rowOff>9524</xdr:rowOff>
    </xdr:to>
    <xdr:graphicFrame macro="">
      <xdr:nvGraphicFramePr>
        <xdr:cNvPr id="3" name="Chart 2">
          <a:extLst>
            <a:ext uri="{FF2B5EF4-FFF2-40B4-BE49-F238E27FC236}">
              <a16:creationId xmlns:a16="http://schemas.microsoft.com/office/drawing/2014/main" id="{4D363E71-8F6D-49FC-86C3-FC5B62353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322890</xdr:colOff>
      <xdr:row>16</xdr:row>
      <xdr:rowOff>114300</xdr:rowOff>
    </xdr:from>
    <xdr:to>
      <xdr:col>13</xdr:col>
      <xdr:colOff>28575</xdr:colOff>
      <xdr:row>28</xdr:row>
      <xdr:rowOff>47626</xdr:rowOff>
    </xdr:to>
    <xdr:graphicFrame macro="">
      <xdr:nvGraphicFramePr>
        <xdr:cNvPr id="4" name="Chart 3">
          <a:extLst>
            <a:ext uri="{FF2B5EF4-FFF2-40B4-BE49-F238E27FC236}">
              <a16:creationId xmlns:a16="http://schemas.microsoft.com/office/drawing/2014/main" id="{C04CEB29-EBEC-4E8E-9671-286ECCA23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476250</xdr:colOff>
      <xdr:row>3</xdr:row>
      <xdr:rowOff>66675</xdr:rowOff>
    </xdr:from>
    <xdr:to>
      <xdr:col>16</xdr:col>
      <xdr:colOff>0</xdr:colOff>
      <xdr:row>16</xdr:row>
      <xdr:rowOff>114300</xdr:rowOff>
    </xdr:to>
    <xdr:graphicFrame macro="">
      <xdr:nvGraphicFramePr>
        <xdr:cNvPr id="5" name="Chart 4">
          <a:extLst>
            <a:ext uri="{FF2B5EF4-FFF2-40B4-BE49-F238E27FC236}">
              <a16:creationId xmlns:a16="http://schemas.microsoft.com/office/drawing/2014/main" id="{E8BDE8A7-693D-4E15-BD95-078557F56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114300</xdr:rowOff>
    </xdr:from>
    <xdr:to>
      <xdr:col>6</xdr:col>
      <xdr:colOff>323851</xdr:colOff>
      <xdr:row>28</xdr:row>
      <xdr:rowOff>85726</xdr:rowOff>
    </xdr:to>
    <xdr:graphicFrame macro="">
      <xdr:nvGraphicFramePr>
        <xdr:cNvPr id="6" name="Chart 5">
          <a:extLst>
            <a:ext uri="{FF2B5EF4-FFF2-40B4-BE49-F238E27FC236}">
              <a16:creationId xmlns:a16="http://schemas.microsoft.com/office/drawing/2014/main" id="{B9AF8663-0C54-4A95-BD44-BB0702477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0</xdr:colOff>
      <xdr:row>3</xdr:row>
      <xdr:rowOff>0</xdr:rowOff>
    </xdr:from>
    <xdr:to>
      <xdr:col>19</xdr:col>
      <xdr:colOff>152400</xdr:colOff>
      <xdr:row>16</xdr:row>
      <xdr:rowOff>47625</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38BB40DB-B52B-4975-B204-E441691108F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763125"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17</xdr:row>
      <xdr:rowOff>28576</xdr:rowOff>
    </xdr:from>
    <xdr:to>
      <xdr:col>19</xdr:col>
      <xdr:colOff>152400</xdr:colOff>
      <xdr:row>21</xdr:row>
      <xdr:rowOff>142876</xdr:rowOff>
    </xdr:to>
    <mc:AlternateContent xmlns:mc="http://schemas.openxmlformats.org/markup-compatibility/2006" xmlns:a14="http://schemas.microsoft.com/office/drawing/2010/main">
      <mc:Choice Requires="a14">
        <xdr:graphicFrame macro="">
          <xdr:nvGraphicFramePr>
            <xdr:cNvPr id="8" name="Machine_ID">
              <a:extLst>
                <a:ext uri="{FF2B5EF4-FFF2-40B4-BE49-F238E27FC236}">
                  <a16:creationId xmlns:a16="http://schemas.microsoft.com/office/drawing/2014/main" id="{F95C1240-BFBD-45AD-8C8C-017DD4AFC082}"/>
                </a:ext>
              </a:extLst>
            </xdr:cNvPr>
            <xdr:cNvGraphicFramePr/>
          </xdr:nvGraphicFramePr>
          <xdr:xfrm>
            <a:off x="0" y="0"/>
            <a:ext cx="0" cy="0"/>
          </xdr:xfrm>
          <a:graphic>
            <a:graphicData uri="http://schemas.microsoft.com/office/drawing/2010/slicer">
              <sle:slicer xmlns:sle="http://schemas.microsoft.com/office/drawing/2010/slicer" name="Machine_ID"/>
            </a:graphicData>
          </a:graphic>
        </xdr:graphicFrame>
      </mc:Choice>
      <mc:Fallback xmlns="">
        <xdr:sp macro="" textlink="">
          <xdr:nvSpPr>
            <xdr:cNvPr id="0" name=""/>
            <xdr:cNvSpPr>
              <a:spLocks noTextEdit="1"/>
            </xdr:cNvSpPr>
          </xdr:nvSpPr>
          <xdr:spPr>
            <a:xfrm>
              <a:off x="9763125" y="3267076"/>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600075</xdr:colOff>
      <xdr:row>23</xdr:row>
      <xdr:rowOff>1</xdr:rowOff>
    </xdr:from>
    <xdr:to>
      <xdr:col>19</xdr:col>
      <xdr:colOff>142875</xdr:colOff>
      <xdr:row>27</xdr:row>
      <xdr:rowOff>133351</xdr:rowOff>
    </xdr:to>
    <mc:AlternateContent xmlns:mc="http://schemas.openxmlformats.org/markup-compatibility/2006">
      <mc:Choice xmlns:a14="http://schemas.microsoft.com/office/drawing/2010/main" Requires="a14">
        <xdr:graphicFrame macro="">
          <xdr:nvGraphicFramePr>
            <xdr:cNvPr id="9" name="Shift">
              <a:extLst>
                <a:ext uri="{FF2B5EF4-FFF2-40B4-BE49-F238E27FC236}">
                  <a16:creationId xmlns:a16="http://schemas.microsoft.com/office/drawing/2014/main" id="{D9C87925-B0E9-4D4A-8F6A-7D47C3E2FBF7}"/>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dr:sp macro="" textlink="">
          <xdr:nvSpPr>
            <xdr:cNvPr id="0" name=""/>
            <xdr:cNvSpPr>
              <a:spLocks noTextEdit="1"/>
            </xdr:cNvSpPr>
          </xdr:nvSpPr>
          <xdr:spPr>
            <a:xfrm>
              <a:off x="9753600" y="4648201"/>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111.507814814817" createdVersion="7" refreshedVersion="7" minRefreshableVersion="3" recordCount="150" xr:uid="{0733E45A-952E-4952-826A-7D0530EB6FED}">
  <cacheSource type="worksheet">
    <worksheetSource ref="A1:F151" sheet="Production Data"/>
  </cacheSource>
  <cacheFields count="6">
    <cacheField name="Date" numFmtId="0">
      <sharedItems count="50">
        <s v="01-01-2026"/>
        <s v="02-01-2026"/>
        <s v="03-01-2026"/>
        <s v="04-01-2026"/>
        <s v="05-01-2026"/>
        <s v="06-01-2026"/>
        <s v="07-01-2026"/>
        <s v="08-01-2026"/>
        <s v="09-01-2026"/>
        <s v="10-01-2026"/>
        <s v="11-01-2026"/>
        <s v="12-01-2026"/>
        <s v="13-01-2026"/>
        <s v="14-01-2026"/>
        <s v="15-01-2026"/>
        <s v="16-01-2026"/>
        <s v="17-01-2026"/>
        <s v="18-01-2026"/>
        <s v="19-01-2026"/>
        <s v="20-01-2026"/>
        <s v="21-01-2026"/>
        <s v="22-01-2026"/>
        <s v="23-01-2026"/>
        <s v="24-01-2026"/>
        <s v="25-01-2026"/>
        <s v="26-01-2026"/>
        <s v="27-01-2026"/>
        <s v="28-01-2026"/>
        <s v="29-01-2026"/>
        <s v="30-01-2026"/>
        <s v="31-01-2026"/>
        <s v="01-02-2026"/>
        <s v="02-02-2026"/>
        <s v="03-02-2026"/>
        <s v="04-02-2026"/>
        <s v="05-02-2026"/>
        <s v="06-02-2026"/>
        <s v="07-02-2026"/>
        <s v="08-02-2026"/>
        <s v="09-02-2026"/>
        <s v="10-02-2026"/>
        <s v="11-02-2026"/>
        <s v="12-02-2026"/>
        <s v="13-02-2026"/>
        <s v="14-02-2026"/>
        <s v="15-02-2026"/>
        <s v="16-02-2026"/>
        <s v="17-02-2026"/>
        <s v="18-02-2026"/>
        <s v="19-02-2026"/>
      </sharedItems>
    </cacheField>
    <cacheField name="Machine_ID" numFmtId="0">
      <sharedItems count="3">
        <s v="M1"/>
        <s v="M2"/>
        <s v="M3"/>
      </sharedItems>
    </cacheField>
    <cacheField name="Shift" numFmtId="0">
      <sharedItems count="2">
        <s v="Night"/>
        <s v="Day"/>
      </sharedItems>
    </cacheField>
    <cacheField name="Production_kg" numFmtId="0">
      <sharedItems containsSemiMixedTypes="0" containsString="0" containsNumber="1" containsInteger="1" minValue="400" maxValue="700"/>
    </cacheField>
    <cacheField name="Waste_kg" numFmtId="0">
      <sharedItems containsSemiMixedTypes="0" containsString="0" containsNumber="1" containsInteger="1" minValue="10" maxValue="50"/>
    </cacheField>
    <cacheField name="weste %" numFmtId="9">
      <sharedItems containsSemiMixedTypes="0" containsString="0" containsNumber="1" minValue="1.6" maxValue="11.219512195121952" count="149">
        <n v="2.1346469622331692"/>
        <n v="2.5"/>
        <n v="5.9496567505720828"/>
        <n v="2.6162790697674421"/>
        <n v="3.2418952618453867"/>
        <n v="5.9679767103347885"/>
        <n v="2.9925187032418954"/>
        <n v="6.2937062937062942"/>
        <n v="5.2845528455284558"/>
        <n v="10.53921568627451"/>
        <n v="4.2584434654919239"/>
        <n v="2.4096385542168677"/>
        <n v="2.028397565922921"/>
        <n v="7.363770250368189"/>
        <n v="2.1487603305785123"/>
        <n v="5.5646481178396074"/>
        <n v="1.7241379310344827"/>
        <n v="6.4205457463884423"/>
        <n v="3.9215686274509802"/>
        <n v="5.5846422338568935"/>
        <n v="2.3965141612200433"/>
        <n v="2.0467836257309941"/>
        <n v="7.8303425774877642"/>
        <n v="2.7196652719665275"/>
        <n v="9.1489361702127656"/>
        <n v="4.6444121915820027"/>
        <n v="2.0602218700475436"/>
        <n v="2.3769100169779285"/>
        <n v="4.630969609261939"/>
        <n v="1.8900343642611683"/>
        <n v="1.9267822736030826"/>
        <n v="5.8655221745350508"/>
        <n v="3.4985422740524781"/>
        <n v="7.291666666666667"/>
        <n v="8.1699346405228752"/>
        <n v="7.6219512195121952"/>
        <n v="6.6964285714285712"/>
        <n v="5.5555555555555554"/>
        <n v="10.067114093959731"/>
        <n v="2.3364485981308412"/>
        <n v="1.7142857142857144"/>
        <n v="4.8582995951417001"/>
        <n v="6.6974595842956122"/>
        <n v="4.7085201793721971"/>
        <n v="3.6484245439469323"/>
        <n v="4.8929663608562688"/>
        <n v="3.2835820895522385"/>
        <n v="2.9288702928870292"/>
        <n v="9.4650205761316872"/>
        <n v="8.9715536105032836"/>
        <n v="6.0655737704918034"/>
        <n v="7.4380165289256199"/>
        <n v="10.411622276029057"/>
        <n v="6.178861788617886"/>
        <n v="6.7349926793557833"/>
        <n v="10.514018691588785"/>
        <n v="3.1343283582089549"/>
        <n v="8.0775444264943452"/>
        <n v="4.3352601156069364"/>
        <n v="9.147609147609149"/>
        <n v="3.6974789915966388"/>
        <n v="11.219512195121952"/>
        <n v="3.6764705882352944"/>
        <n v="8.0234833659491187"/>
        <n v="5.1851851851851851"/>
        <n v="2.5718608169440245"/>
        <n v="4.056795131845842"/>
        <n v="8.4905660377358494"/>
        <n v="7.2992700729926998"/>
        <n v="5.7724957555178262"/>
        <n v="10.731707317073171"/>
        <n v="3.8817005545286505"/>
        <n v="4.967602591792657"/>
        <n v="5.8139534883720927"/>
        <n v="5.3097345132743365"/>
        <n v="8.7557603686635943"/>
        <n v="2.4509803921568629"/>
        <n v="8.4536082474226806"/>
        <n v="4.8034934497816595"/>
        <n v="4.308390022675737"/>
        <n v="9.1764705882352935"/>
        <n v="6.1120543293718166"/>
        <n v="6.1428571428571432"/>
        <n v="4.9900199600798407"/>
        <n v="2.6262626262626263"/>
        <n v="5.3244592346089847"/>
        <n v="7.922535211267606"/>
        <n v="7.66488413547237"/>
        <n v="3.7128712871287126"/>
        <n v="3.2822757111597372"/>
        <n v="11.058823529411764"/>
        <n v="1.6"/>
        <n v="6.1674008810572687"/>
        <n v="3.755868544600939"/>
        <n v="4.6181172291296626"/>
        <n v="4.0064102564102564"/>
        <n v="2.9147982062780269"/>
        <n v="1.6176470588235297"/>
        <n v="3.3195020746887969"/>
        <n v="7.309486780715396"/>
        <n v="2.8192371475953566"/>
        <n v="7.3170731707317067"/>
        <n v="5.7603686635944698"/>
        <n v="8.0786026200873362"/>
        <n v="4.4943820224719104"/>
        <n v="4.225352112676056"/>
        <n v="7.678883071553229"/>
        <n v="5.2469135802469129"/>
        <n v="7.0038910505836576"/>
        <n v="8.3870967741935498"/>
        <n v="3.7425149700598799"/>
        <n v="6.2645011600928076"/>
        <n v="1.935483870967742"/>
        <n v="2.4502297090352223"/>
        <n v="9.8557692307692299"/>
        <n v="3.6231884057971016"/>
        <n v="3.8681948424068766"/>
        <n v="8.6363636363636367"/>
        <n v="7.350427350427351"/>
        <n v="9.5121951219512191"/>
        <n v="4.9212598425196852"/>
        <n v="7.4074074074074066"/>
        <n v="4.9128367670364499"/>
        <n v="6.7723342939481261"/>
        <n v="2.3474178403755865"/>
        <n v="6.8807339449541285"/>
        <n v="6.571936056838366"/>
        <n v="5.3738317757009346"/>
        <n v="2.1778584392014517"/>
        <n v="9.7192224622030245"/>
        <n v="2.5263157894736841"/>
        <n v="3.4653465346534658"/>
        <n v="2.4566473988439306"/>
        <n v="6.4"/>
        <n v="7.2046109510086458"/>
        <n v="6.0439560439560438"/>
        <n v="2.8301886792452833"/>
        <n v="3.3576642335766427"/>
        <n v="1.6081871345029239"/>
        <n v="5.0179211469534053"/>
        <n v="3.7433155080213902"/>
        <n v="4.8218029350104823"/>
        <n v="8.1771720613287897"/>
        <n v="2.6194144838212634"/>
        <n v="2.1235521235521233"/>
        <n v="5.5684454756380504"/>
        <n v="8.3175803402646498"/>
        <n v="7.5907590759075907"/>
        <n v="4.0540540540540544"/>
      </sharedItems>
    </cacheField>
  </cacheFields>
  <extLst>
    <ext xmlns:x14="http://schemas.microsoft.com/office/spreadsheetml/2009/9/main" uri="{725AE2AE-9491-48be-B2B4-4EB974FC3084}">
      <x14:pivotCacheDefinition pivotCacheId="447275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n v="609"/>
    <n v="13"/>
    <x v="0"/>
  </r>
  <r>
    <x v="0"/>
    <x v="0"/>
    <x v="1"/>
    <n v="400"/>
    <n v="10"/>
    <x v="1"/>
  </r>
  <r>
    <x v="0"/>
    <x v="1"/>
    <x v="1"/>
    <n v="437"/>
    <n v="26"/>
    <x v="2"/>
  </r>
  <r>
    <x v="1"/>
    <x v="1"/>
    <x v="0"/>
    <n v="688"/>
    <n v="18"/>
    <x v="3"/>
  </r>
  <r>
    <x v="1"/>
    <x v="0"/>
    <x v="0"/>
    <n v="401"/>
    <n v="13"/>
    <x v="4"/>
  </r>
  <r>
    <x v="1"/>
    <x v="1"/>
    <x v="1"/>
    <n v="687"/>
    <n v="41"/>
    <x v="5"/>
  </r>
  <r>
    <x v="2"/>
    <x v="0"/>
    <x v="1"/>
    <n v="401"/>
    <n v="12"/>
    <x v="6"/>
  </r>
  <r>
    <x v="2"/>
    <x v="0"/>
    <x v="1"/>
    <n v="572"/>
    <n v="36"/>
    <x v="7"/>
  </r>
  <r>
    <x v="2"/>
    <x v="2"/>
    <x v="1"/>
    <n v="492"/>
    <n v="26"/>
    <x v="8"/>
  </r>
  <r>
    <x v="3"/>
    <x v="0"/>
    <x v="1"/>
    <n v="408"/>
    <n v="43"/>
    <x v="9"/>
  </r>
  <r>
    <x v="3"/>
    <x v="2"/>
    <x v="0"/>
    <n v="681"/>
    <n v="29"/>
    <x v="10"/>
  </r>
  <r>
    <x v="3"/>
    <x v="1"/>
    <x v="1"/>
    <n v="415"/>
    <n v="10"/>
    <x v="11"/>
  </r>
  <r>
    <x v="4"/>
    <x v="2"/>
    <x v="1"/>
    <n v="493"/>
    <n v="10"/>
    <x v="12"/>
  </r>
  <r>
    <x v="4"/>
    <x v="0"/>
    <x v="0"/>
    <n v="679"/>
    <n v="50"/>
    <x v="13"/>
  </r>
  <r>
    <x v="4"/>
    <x v="1"/>
    <x v="0"/>
    <n v="605"/>
    <n v="13"/>
    <x v="14"/>
  </r>
  <r>
    <x v="5"/>
    <x v="1"/>
    <x v="1"/>
    <n v="611"/>
    <n v="34"/>
    <x v="15"/>
  </r>
  <r>
    <x v="5"/>
    <x v="0"/>
    <x v="0"/>
    <n v="638"/>
    <n v="11"/>
    <x v="16"/>
  </r>
  <r>
    <x v="5"/>
    <x v="0"/>
    <x v="1"/>
    <n v="623"/>
    <n v="40"/>
    <x v="17"/>
  </r>
  <r>
    <x v="6"/>
    <x v="0"/>
    <x v="0"/>
    <n v="459"/>
    <n v="18"/>
    <x v="18"/>
  </r>
  <r>
    <x v="6"/>
    <x v="2"/>
    <x v="1"/>
    <n v="573"/>
    <n v="32"/>
    <x v="19"/>
  </r>
  <r>
    <x v="6"/>
    <x v="1"/>
    <x v="0"/>
    <n v="459"/>
    <n v="11"/>
    <x v="20"/>
  </r>
  <r>
    <x v="7"/>
    <x v="0"/>
    <x v="0"/>
    <n v="684"/>
    <n v="14"/>
    <x v="21"/>
  </r>
  <r>
    <x v="7"/>
    <x v="1"/>
    <x v="1"/>
    <n v="613"/>
    <n v="48"/>
    <x v="22"/>
  </r>
  <r>
    <x v="7"/>
    <x v="1"/>
    <x v="0"/>
    <n v="478"/>
    <n v="13"/>
    <x v="23"/>
  </r>
  <r>
    <x v="8"/>
    <x v="0"/>
    <x v="1"/>
    <n v="470"/>
    <n v="43"/>
    <x v="24"/>
  </r>
  <r>
    <x v="8"/>
    <x v="2"/>
    <x v="0"/>
    <n v="689"/>
    <n v="32"/>
    <x v="25"/>
  </r>
  <r>
    <x v="8"/>
    <x v="0"/>
    <x v="1"/>
    <n v="631"/>
    <n v="13"/>
    <x v="26"/>
  </r>
  <r>
    <x v="9"/>
    <x v="1"/>
    <x v="1"/>
    <n v="589"/>
    <n v="14"/>
    <x v="27"/>
  </r>
  <r>
    <x v="9"/>
    <x v="2"/>
    <x v="0"/>
    <n v="691"/>
    <n v="32"/>
    <x v="28"/>
  </r>
  <r>
    <x v="9"/>
    <x v="0"/>
    <x v="0"/>
    <n v="582"/>
    <n v="11"/>
    <x v="29"/>
  </r>
  <r>
    <x v="10"/>
    <x v="1"/>
    <x v="1"/>
    <n v="519"/>
    <n v="10"/>
    <x v="30"/>
  </r>
  <r>
    <x v="10"/>
    <x v="2"/>
    <x v="0"/>
    <n v="699"/>
    <n v="41"/>
    <x v="31"/>
  </r>
  <r>
    <x v="10"/>
    <x v="0"/>
    <x v="1"/>
    <n v="686"/>
    <n v="24"/>
    <x v="32"/>
  </r>
  <r>
    <x v="11"/>
    <x v="1"/>
    <x v="0"/>
    <n v="576"/>
    <n v="42"/>
    <x v="33"/>
  </r>
  <r>
    <x v="11"/>
    <x v="0"/>
    <x v="1"/>
    <n v="612"/>
    <n v="50"/>
    <x v="34"/>
  </r>
  <r>
    <x v="11"/>
    <x v="2"/>
    <x v="0"/>
    <n v="656"/>
    <n v="50"/>
    <x v="35"/>
  </r>
  <r>
    <x v="12"/>
    <x v="2"/>
    <x v="0"/>
    <n v="448"/>
    <n v="30"/>
    <x v="36"/>
  </r>
  <r>
    <x v="12"/>
    <x v="2"/>
    <x v="1"/>
    <n v="684"/>
    <n v="38"/>
    <x v="37"/>
  </r>
  <r>
    <x v="12"/>
    <x v="0"/>
    <x v="1"/>
    <n v="447"/>
    <n v="45"/>
    <x v="38"/>
  </r>
  <r>
    <x v="13"/>
    <x v="0"/>
    <x v="0"/>
    <n v="642"/>
    <n v="15"/>
    <x v="39"/>
  </r>
  <r>
    <x v="13"/>
    <x v="0"/>
    <x v="0"/>
    <n v="700"/>
    <n v="12"/>
    <x v="40"/>
  </r>
  <r>
    <x v="13"/>
    <x v="0"/>
    <x v="0"/>
    <n v="494"/>
    <n v="24"/>
    <x v="41"/>
  </r>
  <r>
    <x v="14"/>
    <x v="1"/>
    <x v="0"/>
    <n v="433"/>
    <n v="29"/>
    <x v="42"/>
  </r>
  <r>
    <x v="14"/>
    <x v="0"/>
    <x v="0"/>
    <n v="446"/>
    <n v="21"/>
    <x v="43"/>
  </r>
  <r>
    <x v="14"/>
    <x v="1"/>
    <x v="0"/>
    <n v="603"/>
    <n v="22"/>
    <x v="44"/>
  </r>
  <r>
    <x v="15"/>
    <x v="0"/>
    <x v="1"/>
    <n v="654"/>
    <n v="32"/>
    <x v="45"/>
  </r>
  <r>
    <x v="15"/>
    <x v="0"/>
    <x v="1"/>
    <n v="670"/>
    <n v="22"/>
    <x v="46"/>
  </r>
  <r>
    <x v="15"/>
    <x v="2"/>
    <x v="1"/>
    <n v="478"/>
    <n v="14"/>
    <x v="47"/>
  </r>
  <r>
    <x v="16"/>
    <x v="0"/>
    <x v="0"/>
    <n v="486"/>
    <n v="46"/>
    <x v="48"/>
  </r>
  <r>
    <x v="16"/>
    <x v="1"/>
    <x v="1"/>
    <n v="457"/>
    <n v="41"/>
    <x v="49"/>
  </r>
  <r>
    <x v="16"/>
    <x v="1"/>
    <x v="0"/>
    <n v="610"/>
    <n v="37"/>
    <x v="50"/>
  </r>
  <r>
    <x v="17"/>
    <x v="2"/>
    <x v="0"/>
    <n v="605"/>
    <n v="45"/>
    <x v="51"/>
  </r>
  <r>
    <x v="17"/>
    <x v="1"/>
    <x v="0"/>
    <n v="413"/>
    <n v="43"/>
    <x v="52"/>
  </r>
  <r>
    <x v="17"/>
    <x v="0"/>
    <x v="1"/>
    <n v="615"/>
    <n v="38"/>
    <x v="53"/>
  </r>
  <r>
    <x v="18"/>
    <x v="0"/>
    <x v="1"/>
    <n v="683"/>
    <n v="46"/>
    <x v="54"/>
  </r>
  <r>
    <x v="18"/>
    <x v="2"/>
    <x v="0"/>
    <n v="428"/>
    <n v="45"/>
    <x v="55"/>
  </r>
  <r>
    <x v="18"/>
    <x v="0"/>
    <x v="1"/>
    <n v="670"/>
    <n v="21"/>
    <x v="56"/>
  </r>
  <r>
    <x v="19"/>
    <x v="1"/>
    <x v="0"/>
    <n v="619"/>
    <n v="50"/>
    <x v="57"/>
  </r>
  <r>
    <x v="19"/>
    <x v="1"/>
    <x v="0"/>
    <n v="692"/>
    <n v="30"/>
    <x v="58"/>
  </r>
  <r>
    <x v="19"/>
    <x v="0"/>
    <x v="0"/>
    <n v="481"/>
    <n v="44"/>
    <x v="59"/>
  </r>
  <r>
    <x v="20"/>
    <x v="2"/>
    <x v="0"/>
    <n v="595"/>
    <n v="22"/>
    <x v="60"/>
  </r>
  <r>
    <x v="20"/>
    <x v="0"/>
    <x v="1"/>
    <n v="410"/>
    <n v="46"/>
    <x v="61"/>
  </r>
  <r>
    <x v="20"/>
    <x v="1"/>
    <x v="1"/>
    <n v="408"/>
    <n v="15"/>
    <x v="62"/>
  </r>
  <r>
    <x v="21"/>
    <x v="1"/>
    <x v="0"/>
    <n v="511"/>
    <n v="41"/>
    <x v="63"/>
  </r>
  <r>
    <x v="21"/>
    <x v="0"/>
    <x v="0"/>
    <n v="540"/>
    <n v="28"/>
    <x v="64"/>
  </r>
  <r>
    <x v="21"/>
    <x v="1"/>
    <x v="1"/>
    <n v="661"/>
    <n v="17"/>
    <x v="65"/>
  </r>
  <r>
    <x v="22"/>
    <x v="0"/>
    <x v="1"/>
    <n v="493"/>
    <n v="20"/>
    <x v="66"/>
  </r>
  <r>
    <x v="22"/>
    <x v="1"/>
    <x v="1"/>
    <n v="424"/>
    <n v="36"/>
    <x v="67"/>
  </r>
  <r>
    <x v="22"/>
    <x v="2"/>
    <x v="0"/>
    <n v="411"/>
    <n v="30"/>
    <x v="68"/>
  </r>
  <r>
    <x v="23"/>
    <x v="0"/>
    <x v="0"/>
    <n v="589"/>
    <n v="34"/>
    <x v="69"/>
  </r>
  <r>
    <x v="23"/>
    <x v="0"/>
    <x v="1"/>
    <n v="410"/>
    <n v="44"/>
    <x v="70"/>
  </r>
  <r>
    <x v="23"/>
    <x v="0"/>
    <x v="0"/>
    <n v="541"/>
    <n v="21"/>
    <x v="71"/>
  </r>
  <r>
    <x v="24"/>
    <x v="1"/>
    <x v="1"/>
    <n v="463"/>
    <n v="23"/>
    <x v="72"/>
  </r>
  <r>
    <x v="24"/>
    <x v="2"/>
    <x v="0"/>
    <n v="430"/>
    <n v="25"/>
    <x v="73"/>
  </r>
  <r>
    <x v="24"/>
    <x v="2"/>
    <x v="1"/>
    <n v="452"/>
    <n v="24"/>
    <x v="74"/>
  </r>
  <r>
    <x v="25"/>
    <x v="2"/>
    <x v="0"/>
    <n v="434"/>
    <n v="38"/>
    <x v="75"/>
  </r>
  <r>
    <x v="25"/>
    <x v="0"/>
    <x v="0"/>
    <n v="408"/>
    <n v="10"/>
    <x v="76"/>
  </r>
  <r>
    <x v="25"/>
    <x v="0"/>
    <x v="1"/>
    <n v="485"/>
    <n v="41"/>
    <x v="77"/>
  </r>
  <r>
    <x v="26"/>
    <x v="1"/>
    <x v="0"/>
    <n v="458"/>
    <n v="22"/>
    <x v="78"/>
  </r>
  <r>
    <x v="26"/>
    <x v="0"/>
    <x v="1"/>
    <n v="441"/>
    <n v="19"/>
    <x v="79"/>
  </r>
  <r>
    <x v="26"/>
    <x v="1"/>
    <x v="0"/>
    <n v="425"/>
    <n v="39"/>
    <x v="80"/>
  </r>
  <r>
    <x v="27"/>
    <x v="0"/>
    <x v="0"/>
    <n v="589"/>
    <n v="36"/>
    <x v="81"/>
  </r>
  <r>
    <x v="27"/>
    <x v="0"/>
    <x v="1"/>
    <n v="700"/>
    <n v="43"/>
    <x v="82"/>
  </r>
  <r>
    <x v="27"/>
    <x v="1"/>
    <x v="0"/>
    <n v="501"/>
    <n v="25"/>
    <x v="83"/>
  </r>
  <r>
    <x v="28"/>
    <x v="2"/>
    <x v="1"/>
    <n v="495"/>
    <n v="13"/>
    <x v="84"/>
  </r>
  <r>
    <x v="28"/>
    <x v="0"/>
    <x v="0"/>
    <n v="601"/>
    <n v="32"/>
    <x v="85"/>
  </r>
  <r>
    <x v="28"/>
    <x v="2"/>
    <x v="1"/>
    <n v="568"/>
    <n v="45"/>
    <x v="86"/>
  </r>
  <r>
    <x v="29"/>
    <x v="0"/>
    <x v="0"/>
    <n v="561"/>
    <n v="43"/>
    <x v="87"/>
  </r>
  <r>
    <x v="29"/>
    <x v="2"/>
    <x v="0"/>
    <n v="404"/>
    <n v="15"/>
    <x v="88"/>
  </r>
  <r>
    <x v="29"/>
    <x v="1"/>
    <x v="1"/>
    <n v="457"/>
    <n v="15"/>
    <x v="89"/>
  </r>
  <r>
    <x v="30"/>
    <x v="1"/>
    <x v="0"/>
    <n v="425"/>
    <n v="47"/>
    <x v="90"/>
  </r>
  <r>
    <x v="30"/>
    <x v="2"/>
    <x v="1"/>
    <n v="625"/>
    <n v="10"/>
    <x v="91"/>
  </r>
  <r>
    <x v="30"/>
    <x v="1"/>
    <x v="0"/>
    <n v="454"/>
    <n v="28"/>
    <x v="92"/>
  </r>
  <r>
    <x v="31"/>
    <x v="2"/>
    <x v="0"/>
    <n v="426"/>
    <n v="16"/>
    <x v="93"/>
  </r>
  <r>
    <x v="31"/>
    <x v="1"/>
    <x v="0"/>
    <n v="563"/>
    <n v="26"/>
    <x v="94"/>
  </r>
  <r>
    <x v="31"/>
    <x v="0"/>
    <x v="0"/>
    <n v="624"/>
    <n v="25"/>
    <x v="95"/>
  </r>
  <r>
    <x v="32"/>
    <x v="2"/>
    <x v="1"/>
    <n v="446"/>
    <n v="13"/>
    <x v="96"/>
  </r>
  <r>
    <x v="32"/>
    <x v="1"/>
    <x v="1"/>
    <n v="680"/>
    <n v="11"/>
    <x v="97"/>
  </r>
  <r>
    <x v="32"/>
    <x v="2"/>
    <x v="1"/>
    <n v="482"/>
    <n v="16"/>
    <x v="98"/>
  </r>
  <r>
    <x v="33"/>
    <x v="2"/>
    <x v="1"/>
    <n v="643"/>
    <n v="47"/>
    <x v="99"/>
  </r>
  <r>
    <x v="33"/>
    <x v="1"/>
    <x v="0"/>
    <n v="603"/>
    <n v="17"/>
    <x v="100"/>
  </r>
  <r>
    <x v="33"/>
    <x v="0"/>
    <x v="0"/>
    <n v="615"/>
    <n v="45"/>
    <x v="101"/>
  </r>
  <r>
    <x v="34"/>
    <x v="2"/>
    <x v="1"/>
    <n v="434"/>
    <n v="25"/>
    <x v="102"/>
  </r>
  <r>
    <x v="34"/>
    <x v="2"/>
    <x v="1"/>
    <n v="458"/>
    <n v="37"/>
    <x v="103"/>
  </r>
  <r>
    <x v="34"/>
    <x v="2"/>
    <x v="0"/>
    <n v="534"/>
    <n v="24"/>
    <x v="104"/>
  </r>
  <r>
    <x v="35"/>
    <x v="0"/>
    <x v="0"/>
    <n v="426"/>
    <n v="18"/>
    <x v="105"/>
  </r>
  <r>
    <x v="35"/>
    <x v="2"/>
    <x v="0"/>
    <n v="573"/>
    <n v="44"/>
    <x v="106"/>
  </r>
  <r>
    <x v="35"/>
    <x v="0"/>
    <x v="0"/>
    <n v="648"/>
    <n v="34"/>
    <x v="107"/>
  </r>
  <r>
    <x v="36"/>
    <x v="0"/>
    <x v="0"/>
    <n v="514"/>
    <n v="36"/>
    <x v="108"/>
  </r>
  <r>
    <x v="36"/>
    <x v="1"/>
    <x v="0"/>
    <n v="465"/>
    <n v="39"/>
    <x v="109"/>
  </r>
  <r>
    <x v="36"/>
    <x v="1"/>
    <x v="0"/>
    <n v="668"/>
    <n v="25"/>
    <x v="110"/>
  </r>
  <r>
    <x v="37"/>
    <x v="1"/>
    <x v="1"/>
    <n v="431"/>
    <n v="27"/>
    <x v="111"/>
  </r>
  <r>
    <x v="37"/>
    <x v="2"/>
    <x v="1"/>
    <n v="620"/>
    <n v="12"/>
    <x v="112"/>
  </r>
  <r>
    <x v="37"/>
    <x v="2"/>
    <x v="0"/>
    <n v="653"/>
    <n v="16"/>
    <x v="113"/>
  </r>
  <r>
    <x v="38"/>
    <x v="0"/>
    <x v="0"/>
    <n v="416"/>
    <n v="41"/>
    <x v="114"/>
  </r>
  <r>
    <x v="38"/>
    <x v="2"/>
    <x v="0"/>
    <n v="552"/>
    <n v="20"/>
    <x v="115"/>
  </r>
  <r>
    <x v="38"/>
    <x v="1"/>
    <x v="0"/>
    <n v="698"/>
    <n v="27"/>
    <x v="116"/>
  </r>
  <r>
    <x v="39"/>
    <x v="0"/>
    <x v="1"/>
    <n v="440"/>
    <n v="38"/>
    <x v="117"/>
  </r>
  <r>
    <x v="39"/>
    <x v="0"/>
    <x v="0"/>
    <n v="585"/>
    <n v="43"/>
    <x v="118"/>
  </r>
  <r>
    <x v="39"/>
    <x v="2"/>
    <x v="0"/>
    <n v="410"/>
    <n v="39"/>
    <x v="119"/>
  </r>
  <r>
    <x v="40"/>
    <x v="2"/>
    <x v="0"/>
    <n v="508"/>
    <n v="25"/>
    <x v="120"/>
  </r>
  <r>
    <x v="40"/>
    <x v="0"/>
    <x v="1"/>
    <n v="675"/>
    <n v="50"/>
    <x v="121"/>
  </r>
  <r>
    <x v="40"/>
    <x v="0"/>
    <x v="0"/>
    <n v="631"/>
    <n v="31"/>
    <x v="122"/>
  </r>
  <r>
    <x v="41"/>
    <x v="1"/>
    <x v="0"/>
    <n v="694"/>
    <n v="47"/>
    <x v="123"/>
  </r>
  <r>
    <x v="41"/>
    <x v="1"/>
    <x v="1"/>
    <n v="639"/>
    <n v="15"/>
    <x v="124"/>
  </r>
  <r>
    <x v="41"/>
    <x v="1"/>
    <x v="1"/>
    <n v="436"/>
    <n v="30"/>
    <x v="125"/>
  </r>
  <r>
    <x v="42"/>
    <x v="0"/>
    <x v="0"/>
    <n v="563"/>
    <n v="37"/>
    <x v="126"/>
  </r>
  <r>
    <x v="42"/>
    <x v="0"/>
    <x v="1"/>
    <n v="428"/>
    <n v="23"/>
    <x v="127"/>
  </r>
  <r>
    <x v="42"/>
    <x v="1"/>
    <x v="0"/>
    <n v="551"/>
    <n v="12"/>
    <x v="128"/>
  </r>
  <r>
    <x v="43"/>
    <x v="2"/>
    <x v="1"/>
    <n v="463"/>
    <n v="45"/>
    <x v="129"/>
  </r>
  <r>
    <x v="43"/>
    <x v="0"/>
    <x v="1"/>
    <n v="475"/>
    <n v="12"/>
    <x v="130"/>
  </r>
  <r>
    <x v="43"/>
    <x v="0"/>
    <x v="1"/>
    <n v="404"/>
    <n v="14"/>
    <x v="131"/>
  </r>
  <r>
    <x v="44"/>
    <x v="2"/>
    <x v="0"/>
    <n v="692"/>
    <n v="17"/>
    <x v="132"/>
  </r>
  <r>
    <x v="44"/>
    <x v="1"/>
    <x v="0"/>
    <n v="500"/>
    <n v="32"/>
    <x v="133"/>
  </r>
  <r>
    <x v="44"/>
    <x v="1"/>
    <x v="0"/>
    <n v="694"/>
    <n v="50"/>
    <x v="134"/>
  </r>
  <r>
    <x v="45"/>
    <x v="2"/>
    <x v="1"/>
    <n v="546"/>
    <n v="33"/>
    <x v="135"/>
  </r>
  <r>
    <x v="45"/>
    <x v="0"/>
    <x v="0"/>
    <n v="625"/>
    <n v="40"/>
    <x v="133"/>
  </r>
  <r>
    <x v="45"/>
    <x v="0"/>
    <x v="0"/>
    <n v="530"/>
    <n v="15"/>
    <x v="136"/>
  </r>
  <r>
    <x v="46"/>
    <x v="1"/>
    <x v="0"/>
    <n v="685"/>
    <n v="23"/>
    <x v="137"/>
  </r>
  <r>
    <x v="46"/>
    <x v="1"/>
    <x v="1"/>
    <n v="684"/>
    <n v="11"/>
    <x v="138"/>
  </r>
  <r>
    <x v="46"/>
    <x v="0"/>
    <x v="0"/>
    <n v="558"/>
    <n v="28"/>
    <x v="139"/>
  </r>
  <r>
    <x v="47"/>
    <x v="0"/>
    <x v="1"/>
    <n v="561"/>
    <n v="21"/>
    <x v="140"/>
  </r>
  <r>
    <x v="47"/>
    <x v="0"/>
    <x v="1"/>
    <n v="477"/>
    <n v="23"/>
    <x v="141"/>
  </r>
  <r>
    <x v="47"/>
    <x v="2"/>
    <x v="0"/>
    <n v="587"/>
    <n v="48"/>
    <x v="142"/>
  </r>
  <r>
    <x v="48"/>
    <x v="2"/>
    <x v="1"/>
    <n v="649"/>
    <n v="17"/>
    <x v="143"/>
  </r>
  <r>
    <x v="48"/>
    <x v="0"/>
    <x v="0"/>
    <n v="518"/>
    <n v="11"/>
    <x v="144"/>
  </r>
  <r>
    <x v="48"/>
    <x v="0"/>
    <x v="0"/>
    <n v="431"/>
    <n v="24"/>
    <x v="145"/>
  </r>
  <r>
    <x v="49"/>
    <x v="2"/>
    <x v="1"/>
    <n v="529"/>
    <n v="44"/>
    <x v="146"/>
  </r>
  <r>
    <x v="49"/>
    <x v="0"/>
    <x v="1"/>
    <n v="606"/>
    <n v="46"/>
    <x v="147"/>
  </r>
  <r>
    <x v="49"/>
    <x v="0"/>
    <x v="0"/>
    <n v="592"/>
    <n v="24"/>
    <x v="1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1CFFA6-D288-4B55-8214-9D4805F6AA2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8:B69" firstHeaderRow="1" firstDataRow="1" firstDataCol="1"/>
  <pivotFields count="6">
    <pivotField axis="axisRow" showAll="0">
      <items count="51">
        <item x="0"/>
        <item x="31"/>
        <item x="1"/>
        <item x="32"/>
        <item x="2"/>
        <item x="33"/>
        <item x="3"/>
        <item x="34"/>
        <item x="4"/>
        <item x="35"/>
        <item x="5"/>
        <item x="36"/>
        <item x="6"/>
        <item x="37"/>
        <item x="7"/>
        <item x="38"/>
        <item x="8"/>
        <item x="39"/>
        <item x="9"/>
        <item x="40"/>
        <item x="10"/>
        <item x="41"/>
        <item x="11"/>
        <item x="42"/>
        <item x="12"/>
        <item x="43"/>
        <item x="13"/>
        <item x="44"/>
        <item x="14"/>
        <item x="45"/>
        <item x="15"/>
        <item x="46"/>
        <item x="16"/>
        <item x="47"/>
        <item x="17"/>
        <item x="48"/>
        <item x="18"/>
        <item x="49"/>
        <item x="19"/>
        <item x="20"/>
        <item x="21"/>
        <item x="22"/>
        <item x="23"/>
        <item x="24"/>
        <item x="25"/>
        <item x="26"/>
        <item x="27"/>
        <item x="28"/>
        <item x="29"/>
        <item x="30"/>
        <item t="default"/>
      </items>
    </pivotField>
    <pivotField showAll="0">
      <items count="4">
        <item x="0"/>
        <item x="1"/>
        <item x="2"/>
        <item t="default"/>
      </items>
    </pivotField>
    <pivotField showAll="0">
      <items count="3">
        <item x="1"/>
        <item x="0"/>
        <item t="default"/>
      </items>
    </pivotField>
    <pivotField dataField="1" showAll="0"/>
    <pivotField showAll="0"/>
    <pivotField numFmtId="9"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Production_kg" fld="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BAEEE3-FC63-4418-8A9C-31B35B0775B9}" name="PivotTable1" cacheId="0" applyNumberFormats="0" applyBorderFormats="0" applyFontFormats="0" applyPatternFormats="0" applyAlignmentFormats="0" applyWidthHeightFormats="1" dataCaption="Values" updatedVersion="7" minRefreshableVersion="3" useAutoFormatting="1" createdVersion="7" indent="0" outline="1" outlineData="1" multipleFieldFilters="0" chartFormat="31">
  <location ref="A3:B7" firstHeaderRow="1" firstDataRow="1" firstDataCol="1"/>
  <pivotFields count="6">
    <pivotField showAll="0">
      <items count="51">
        <item x="0"/>
        <item x="31"/>
        <item x="1"/>
        <item x="32"/>
        <item x="2"/>
        <item x="33"/>
        <item x="3"/>
        <item x="34"/>
        <item x="4"/>
        <item x="35"/>
        <item x="5"/>
        <item x="36"/>
        <item x="6"/>
        <item x="37"/>
        <item x="7"/>
        <item x="38"/>
        <item x="8"/>
        <item x="39"/>
        <item x="9"/>
        <item x="40"/>
        <item x="10"/>
        <item x="41"/>
        <item x="11"/>
        <item x="42"/>
        <item x="12"/>
        <item x="43"/>
        <item x="13"/>
        <item x="44"/>
        <item x="14"/>
        <item x="45"/>
        <item x="15"/>
        <item x="46"/>
        <item x="16"/>
        <item x="47"/>
        <item x="17"/>
        <item x="48"/>
        <item x="18"/>
        <item x="49"/>
        <item x="19"/>
        <item x="20"/>
        <item x="21"/>
        <item x="22"/>
        <item x="23"/>
        <item x="24"/>
        <item x="25"/>
        <item x="26"/>
        <item x="27"/>
        <item x="28"/>
        <item x="29"/>
        <item x="30"/>
        <item t="default"/>
      </items>
    </pivotField>
    <pivotField axis="axisRow" showAll="0">
      <items count="4">
        <item x="0"/>
        <item x="1"/>
        <item x="2"/>
        <item t="default"/>
      </items>
    </pivotField>
    <pivotField showAll="0">
      <items count="3">
        <item x="1"/>
        <item x="0"/>
        <item t="default"/>
      </items>
    </pivotField>
    <pivotField dataField="1" showAll="0"/>
    <pivotField showAll="0"/>
    <pivotField numFmtId="9" showAll="0"/>
  </pivotFields>
  <rowFields count="1">
    <field x="1"/>
  </rowFields>
  <rowItems count="4">
    <i>
      <x/>
    </i>
    <i>
      <x v="1"/>
    </i>
    <i>
      <x v="2"/>
    </i>
    <i t="grand">
      <x/>
    </i>
  </rowItems>
  <colItems count="1">
    <i/>
  </colItems>
  <dataFields count="1">
    <dataField name="Sum of Production_kg" fld="3"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34976F-86C3-4E51-B3A7-B1DE04DED5A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11:C15" firstHeaderRow="0" firstDataRow="1" firstDataCol="1"/>
  <pivotFields count="6">
    <pivotField showAll="0">
      <items count="51">
        <item x="0"/>
        <item x="31"/>
        <item x="1"/>
        <item x="32"/>
        <item x="2"/>
        <item x="33"/>
        <item x="3"/>
        <item x="34"/>
        <item x="4"/>
        <item x="35"/>
        <item x="5"/>
        <item x="36"/>
        <item x="6"/>
        <item x="37"/>
        <item x="7"/>
        <item x="38"/>
        <item x="8"/>
        <item x="39"/>
        <item x="9"/>
        <item x="40"/>
        <item x="10"/>
        <item x="41"/>
        <item x="11"/>
        <item x="42"/>
        <item x="12"/>
        <item x="43"/>
        <item x="13"/>
        <item x="44"/>
        <item x="14"/>
        <item x="45"/>
        <item x="15"/>
        <item x="46"/>
        <item x="16"/>
        <item x="47"/>
        <item x="17"/>
        <item x="48"/>
        <item x="18"/>
        <item x="49"/>
        <item x="19"/>
        <item x="20"/>
        <item x="21"/>
        <item x="22"/>
        <item x="23"/>
        <item x="24"/>
        <item x="25"/>
        <item x="26"/>
        <item x="27"/>
        <item x="28"/>
        <item x="29"/>
        <item x="30"/>
        <item t="default"/>
      </items>
    </pivotField>
    <pivotField axis="axisRow" showAll="0">
      <items count="4">
        <item x="0"/>
        <item x="1"/>
        <item x="2"/>
        <item t="default"/>
      </items>
    </pivotField>
    <pivotField showAll="0">
      <items count="3">
        <item x="1"/>
        <item x="0"/>
        <item t="default"/>
      </items>
    </pivotField>
    <pivotField showAll="0"/>
    <pivotField dataField="1" showAll="0"/>
    <pivotField dataField="1" numFmtId="9" showAll="0">
      <items count="150">
        <item x="91"/>
        <item x="138"/>
        <item x="97"/>
        <item x="40"/>
        <item x="16"/>
        <item x="29"/>
        <item x="30"/>
        <item x="112"/>
        <item x="12"/>
        <item x="21"/>
        <item x="26"/>
        <item x="144"/>
        <item x="0"/>
        <item x="14"/>
        <item x="128"/>
        <item x="39"/>
        <item x="124"/>
        <item x="27"/>
        <item x="20"/>
        <item x="11"/>
        <item x="113"/>
        <item x="76"/>
        <item x="132"/>
        <item x="1"/>
        <item x="130"/>
        <item x="65"/>
        <item x="3"/>
        <item x="143"/>
        <item x="84"/>
        <item x="23"/>
        <item x="100"/>
        <item x="136"/>
        <item x="96"/>
        <item x="47"/>
        <item x="6"/>
        <item x="56"/>
        <item x="4"/>
        <item x="89"/>
        <item x="46"/>
        <item x="98"/>
        <item x="137"/>
        <item x="131"/>
        <item x="32"/>
        <item x="115"/>
        <item x="44"/>
        <item x="62"/>
        <item x="60"/>
        <item x="88"/>
        <item x="110"/>
        <item x="140"/>
        <item x="93"/>
        <item x="116"/>
        <item x="71"/>
        <item x="18"/>
        <item x="95"/>
        <item x="148"/>
        <item x="66"/>
        <item x="105"/>
        <item x="10"/>
        <item x="79"/>
        <item x="58"/>
        <item x="104"/>
        <item x="94"/>
        <item x="28"/>
        <item x="25"/>
        <item x="43"/>
        <item x="78"/>
        <item x="141"/>
        <item x="41"/>
        <item x="45"/>
        <item x="122"/>
        <item x="120"/>
        <item x="72"/>
        <item x="83"/>
        <item x="139"/>
        <item x="64"/>
        <item x="107"/>
        <item x="8"/>
        <item x="74"/>
        <item x="85"/>
        <item x="127"/>
        <item x="37"/>
        <item x="15"/>
        <item x="145"/>
        <item x="19"/>
        <item x="102"/>
        <item x="69"/>
        <item x="73"/>
        <item x="31"/>
        <item x="2"/>
        <item x="5"/>
        <item x="135"/>
        <item x="50"/>
        <item x="81"/>
        <item x="82"/>
        <item x="92"/>
        <item x="53"/>
        <item x="111"/>
        <item x="7"/>
        <item x="133"/>
        <item x="17"/>
        <item x="126"/>
        <item x="36"/>
        <item x="42"/>
        <item x="54"/>
        <item x="123"/>
        <item x="125"/>
        <item x="108"/>
        <item x="134"/>
        <item x="33"/>
        <item x="68"/>
        <item x="99"/>
        <item x="101"/>
        <item x="118"/>
        <item x="13"/>
        <item x="121"/>
        <item x="51"/>
        <item x="147"/>
        <item x="35"/>
        <item x="87"/>
        <item x="106"/>
        <item x="22"/>
        <item x="86"/>
        <item x="63"/>
        <item x="57"/>
        <item x="103"/>
        <item x="34"/>
        <item x="142"/>
        <item x="146"/>
        <item x="109"/>
        <item x="77"/>
        <item x="67"/>
        <item x="117"/>
        <item x="75"/>
        <item x="49"/>
        <item x="59"/>
        <item x="24"/>
        <item x="80"/>
        <item x="48"/>
        <item x="119"/>
        <item x="129"/>
        <item x="114"/>
        <item x="38"/>
        <item x="52"/>
        <item x="55"/>
        <item x="9"/>
        <item x="70"/>
        <item x="90"/>
        <item x="61"/>
        <item t="default"/>
      </items>
    </pivotField>
  </pivotFields>
  <rowFields count="1">
    <field x="1"/>
  </rowFields>
  <rowItems count="4">
    <i>
      <x/>
    </i>
    <i>
      <x v="1"/>
    </i>
    <i>
      <x v="2"/>
    </i>
    <i t="grand">
      <x/>
    </i>
  </rowItems>
  <colFields count="1">
    <field x="-2"/>
  </colFields>
  <colItems count="2">
    <i>
      <x/>
    </i>
    <i i="1">
      <x v="1"/>
    </i>
  </colItems>
  <dataFields count="2">
    <dataField name="Sum of Waste_kg" fld="4" baseField="0" baseItem="0"/>
    <dataField name="Sum of weste %" fld="5" baseField="0" baseItem="0"/>
  </dataField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899935-5576-4F5F-86FB-319E6AFA646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0:L14" firstHeaderRow="1" firstDataRow="1" firstDataCol="1"/>
  <pivotFields count="6">
    <pivotField showAll="0"/>
    <pivotField axis="axisRow" showAll="0">
      <items count="4">
        <item x="0"/>
        <item x="1"/>
        <item x="2"/>
        <item t="default"/>
      </items>
    </pivotField>
    <pivotField showAll="0"/>
    <pivotField showAll="0"/>
    <pivotField showAll="0"/>
    <pivotField dataField="1" numFmtId="9" showAll="0">
      <items count="150">
        <item x="91"/>
        <item x="138"/>
        <item x="97"/>
        <item x="40"/>
        <item x="16"/>
        <item x="29"/>
        <item x="30"/>
        <item x="112"/>
        <item x="12"/>
        <item x="21"/>
        <item x="26"/>
        <item x="144"/>
        <item x="0"/>
        <item x="14"/>
        <item x="128"/>
        <item x="39"/>
        <item x="124"/>
        <item x="27"/>
        <item x="20"/>
        <item x="11"/>
        <item x="113"/>
        <item x="76"/>
        <item x="132"/>
        <item x="1"/>
        <item x="130"/>
        <item x="65"/>
        <item x="3"/>
        <item x="143"/>
        <item x="84"/>
        <item x="23"/>
        <item x="100"/>
        <item x="136"/>
        <item x="96"/>
        <item x="47"/>
        <item x="6"/>
        <item x="56"/>
        <item x="4"/>
        <item x="89"/>
        <item x="46"/>
        <item x="98"/>
        <item x="137"/>
        <item x="131"/>
        <item x="32"/>
        <item x="115"/>
        <item x="44"/>
        <item x="62"/>
        <item x="60"/>
        <item x="88"/>
        <item x="110"/>
        <item x="140"/>
        <item x="93"/>
        <item x="116"/>
        <item x="71"/>
        <item x="18"/>
        <item x="95"/>
        <item x="148"/>
        <item x="66"/>
        <item x="105"/>
        <item x="10"/>
        <item x="79"/>
        <item x="58"/>
        <item x="104"/>
        <item x="94"/>
        <item x="28"/>
        <item x="25"/>
        <item x="43"/>
        <item x="78"/>
        <item x="141"/>
        <item x="41"/>
        <item x="45"/>
        <item x="122"/>
        <item x="120"/>
        <item x="72"/>
        <item x="83"/>
        <item x="139"/>
        <item x="64"/>
        <item x="107"/>
        <item x="8"/>
        <item x="74"/>
        <item x="85"/>
        <item x="127"/>
        <item x="37"/>
        <item x="15"/>
        <item x="145"/>
        <item x="19"/>
        <item x="102"/>
        <item x="69"/>
        <item x="73"/>
        <item x="31"/>
        <item x="2"/>
        <item x="5"/>
        <item x="135"/>
        <item x="50"/>
        <item x="81"/>
        <item x="82"/>
        <item x="92"/>
        <item x="53"/>
        <item x="111"/>
        <item x="7"/>
        <item x="133"/>
        <item x="17"/>
        <item x="126"/>
        <item x="36"/>
        <item x="42"/>
        <item x="54"/>
        <item x="123"/>
        <item x="125"/>
        <item x="108"/>
        <item x="134"/>
        <item x="33"/>
        <item x="68"/>
        <item x="99"/>
        <item x="101"/>
        <item x="118"/>
        <item x="13"/>
        <item x="121"/>
        <item x="51"/>
        <item x="147"/>
        <item x="35"/>
        <item x="87"/>
        <item x="106"/>
        <item x="22"/>
        <item x="86"/>
        <item x="63"/>
        <item x="57"/>
        <item x="103"/>
        <item x="34"/>
        <item x="142"/>
        <item x="146"/>
        <item x="109"/>
        <item x="77"/>
        <item x="67"/>
        <item x="117"/>
        <item x="75"/>
        <item x="49"/>
        <item x="59"/>
        <item x="24"/>
        <item x="80"/>
        <item x="48"/>
        <item x="119"/>
        <item x="129"/>
        <item x="114"/>
        <item x="38"/>
        <item x="52"/>
        <item x="55"/>
        <item x="9"/>
        <item x="70"/>
        <item x="90"/>
        <item x="61"/>
        <item t="default"/>
      </items>
    </pivotField>
  </pivotFields>
  <rowFields count="1">
    <field x="1"/>
  </rowFields>
  <rowItems count="4">
    <i>
      <x/>
    </i>
    <i>
      <x v="1"/>
    </i>
    <i>
      <x v="2"/>
    </i>
    <i t="grand">
      <x/>
    </i>
  </rowItems>
  <colItems count="1">
    <i/>
  </colItems>
  <dataFields count="1">
    <dataField name="Sum of weste %"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3619E7-C376-4CA5-BC4A-C5157178E32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F20:G24" firstHeaderRow="1" firstDataRow="1" firstDataCol="1"/>
  <pivotFields count="6">
    <pivotField showAll="0">
      <items count="51">
        <item x="0"/>
        <item x="31"/>
        <item x="1"/>
        <item x="32"/>
        <item x="2"/>
        <item x="33"/>
        <item x="3"/>
        <item x="34"/>
        <item x="4"/>
        <item x="35"/>
        <item x="5"/>
        <item x="36"/>
        <item x="6"/>
        <item x="37"/>
        <item x="7"/>
        <item x="38"/>
        <item x="8"/>
        <item x="39"/>
        <item x="9"/>
        <item x="40"/>
        <item x="10"/>
        <item x="41"/>
        <item x="11"/>
        <item x="42"/>
        <item x="12"/>
        <item x="43"/>
        <item x="13"/>
        <item x="44"/>
        <item x="14"/>
        <item x="45"/>
        <item x="15"/>
        <item x="46"/>
        <item x="16"/>
        <item x="47"/>
        <item x="17"/>
        <item x="48"/>
        <item x="18"/>
        <item x="49"/>
        <item x="19"/>
        <item x="20"/>
        <item x="21"/>
        <item x="22"/>
        <item x="23"/>
        <item x="24"/>
        <item x="25"/>
        <item x="26"/>
        <item x="27"/>
        <item x="28"/>
        <item x="29"/>
        <item x="30"/>
        <item t="default"/>
      </items>
    </pivotField>
    <pivotField axis="axisRow" showAll="0">
      <items count="4">
        <item x="0"/>
        <item x="1"/>
        <item x="2"/>
        <item t="default"/>
      </items>
    </pivotField>
    <pivotField showAll="0">
      <items count="3">
        <item x="1"/>
        <item x="0"/>
        <item t="default"/>
      </items>
    </pivotField>
    <pivotField dataField="1" showAll="0"/>
    <pivotField showAll="0"/>
    <pivotField numFmtId="9" showAll="0"/>
  </pivotFields>
  <rowFields count="1">
    <field x="1"/>
  </rowFields>
  <rowItems count="4">
    <i>
      <x/>
    </i>
    <i>
      <x v="1"/>
    </i>
    <i>
      <x v="2"/>
    </i>
    <i t="grand">
      <x/>
    </i>
  </rowItems>
  <colItems count="1">
    <i/>
  </colItems>
  <dataFields count="1">
    <dataField name="Sum of Production_kg" fld="3" baseField="0" baseItem="0"/>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F9015FE-A37D-41BF-BE96-6634BFB9088F}" sourceName="Date">
  <pivotTables>
    <pivotTable tabId="2" name="PivotTable4"/>
    <pivotTable tabId="2" name="PivotTable1"/>
    <pivotTable tabId="2" name="PivotTable2"/>
    <pivotTable tabId="2" name="PivotTable3"/>
  </pivotTables>
  <data>
    <tabular pivotCacheId="447275865">
      <items count="50">
        <i x="0" s="1"/>
        <i x="31" s="1"/>
        <i x="1" s="1"/>
        <i x="32" s="1"/>
        <i x="2" s="1"/>
        <i x="33" s="1"/>
        <i x="3" s="1"/>
        <i x="34" s="1"/>
        <i x="4" s="1"/>
        <i x="35" s="1"/>
        <i x="5" s="1"/>
        <i x="36" s="1"/>
        <i x="6" s="1"/>
        <i x="37" s="1"/>
        <i x="7" s="1"/>
        <i x="38" s="1"/>
        <i x="8" s="1"/>
        <i x="39" s="1"/>
        <i x="9" s="1"/>
        <i x="40" s="1"/>
        <i x="10" s="1"/>
        <i x="41" s="1"/>
        <i x="11" s="1"/>
        <i x="42" s="1"/>
        <i x="12" s="1"/>
        <i x="43" s="1"/>
        <i x="13" s="1"/>
        <i x="44" s="1"/>
        <i x="14" s="1"/>
        <i x="45" s="1"/>
        <i x="15" s="1"/>
        <i x="46" s="1"/>
        <i x="16" s="1"/>
        <i x="47" s="1"/>
        <i x="17" s="1"/>
        <i x="48" s="1"/>
        <i x="18" s="1"/>
        <i x="49" s="1"/>
        <i x="19" s="1"/>
        <i x="20" s="1"/>
        <i x="21" s="1"/>
        <i x="22" s="1"/>
        <i x="23" s="1"/>
        <i x="24" s="1"/>
        <i x="25" s="1"/>
        <i x="26" s="1"/>
        <i x="27" s="1"/>
        <i x="28" s="1"/>
        <i x="29"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ID" xr10:uid="{B35EBA23-D17A-4545-9EEB-70EEBED2F2C4}" sourceName="Machine_ID">
  <pivotTables>
    <pivotTable tabId="2" name="PivotTable4"/>
    <pivotTable tabId="2" name="PivotTable1"/>
    <pivotTable tabId="2" name="PivotTable2"/>
    <pivotTable tabId="2" name="PivotTable3"/>
  </pivotTables>
  <data>
    <tabular pivotCacheId="44727586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90D7D657-6AF6-43A7-BDE8-53F76FDF99E7}" sourceName="Shift">
  <pivotTables>
    <pivotTable tabId="2" name="PivotTable4"/>
    <pivotTable tabId="2" name="PivotTable1"/>
    <pivotTable tabId="2" name="PivotTable2"/>
    <pivotTable tabId="2" name="PivotTable3"/>
  </pivotTables>
  <data>
    <tabular pivotCacheId="4472758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E00BB025-7CE8-4213-A529-2BBE3D9E9366}" cache="Slicer_Date" caption="Date" rowHeight="241300"/>
  <slicer name="Machine_ID" xr10:uid="{FC1550BD-323D-43E6-A2D5-CF355285E372}" cache="Slicer_Machine_ID" caption="Machine_ID" rowHeight="241300"/>
  <slicer name="Shift" xr10:uid="{F0EBF511-575D-4735-9C38-7C91D59AABD7}" cache="Slicer_Shift" caption="Shif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1"/>
  <sheetViews>
    <sheetView topLeftCell="A150" workbookViewId="0">
      <selection activeCell="D135" sqref="A1:F151"/>
    </sheetView>
  </sheetViews>
  <sheetFormatPr defaultRowHeight="15" x14ac:dyDescent="0.25"/>
  <sheetData>
    <row r="1" spans="1:6" x14ac:dyDescent="0.25">
      <c r="A1" s="1" t="s">
        <v>0</v>
      </c>
      <c r="B1" s="1" t="s">
        <v>1</v>
      </c>
      <c r="C1" s="1" t="s">
        <v>2</v>
      </c>
      <c r="D1" s="1" t="s">
        <v>3</v>
      </c>
      <c r="E1" s="1" t="s">
        <v>4</v>
      </c>
      <c r="F1" s="2" t="s">
        <v>60</v>
      </c>
    </row>
    <row r="2" spans="1:6" x14ac:dyDescent="0.25">
      <c r="A2" t="s">
        <v>5</v>
      </c>
      <c r="B2" t="s">
        <v>6</v>
      </c>
      <c r="C2" t="s">
        <v>7</v>
      </c>
      <c r="D2">
        <v>609</v>
      </c>
      <c r="E2">
        <v>13</v>
      </c>
      <c r="F2" s="3">
        <f>E2/D2</f>
        <v>2.1346469622331693E-2</v>
      </c>
    </row>
    <row r="3" spans="1:6" x14ac:dyDescent="0.25">
      <c r="A3" t="s">
        <v>5</v>
      </c>
      <c r="B3" t="s">
        <v>6</v>
      </c>
      <c r="C3" t="s">
        <v>8</v>
      </c>
      <c r="D3">
        <v>400</v>
      </c>
      <c r="E3">
        <v>10</v>
      </c>
      <c r="F3" s="3">
        <f t="shared" ref="F3:F66" si="0">E3/D3</f>
        <v>2.5000000000000001E-2</v>
      </c>
    </row>
    <row r="4" spans="1:6" x14ac:dyDescent="0.25">
      <c r="A4" t="s">
        <v>5</v>
      </c>
      <c r="B4" t="s">
        <v>9</v>
      </c>
      <c r="C4" t="s">
        <v>8</v>
      </c>
      <c r="D4">
        <v>500</v>
      </c>
      <c r="E4">
        <v>25</v>
      </c>
      <c r="F4" s="3">
        <f t="shared" si="0"/>
        <v>0.05</v>
      </c>
    </row>
    <row r="5" spans="1:6" x14ac:dyDescent="0.25">
      <c r="A5" t="s">
        <v>10</v>
      </c>
      <c r="B5" t="s">
        <v>9</v>
      </c>
      <c r="C5" t="s">
        <v>7</v>
      </c>
      <c r="D5">
        <v>688</v>
      </c>
      <c r="E5">
        <v>18</v>
      </c>
      <c r="F5" s="3">
        <f t="shared" si="0"/>
        <v>2.616279069767442E-2</v>
      </c>
    </row>
    <row r="6" spans="1:6" x14ac:dyDescent="0.25">
      <c r="A6" t="s">
        <v>10</v>
      </c>
      <c r="B6" t="s">
        <v>6</v>
      </c>
      <c r="C6" t="s">
        <v>7</v>
      </c>
      <c r="D6">
        <v>401</v>
      </c>
      <c r="E6">
        <v>13</v>
      </c>
      <c r="F6" s="3">
        <f t="shared" si="0"/>
        <v>3.2418952618453865E-2</v>
      </c>
    </row>
    <row r="7" spans="1:6" x14ac:dyDescent="0.25">
      <c r="A7" t="s">
        <v>10</v>
      </c>
      <c r="B7" t="s">
        <v>9</v>
      </c>
      <c r="C7" t="s">
        <v>8</v>
      </c>
      <c r="D7">
        <v>687</v>
      </c>
      <c r="E7">
        <v>41</v>
      </c>
      <c r="F7" s="3">
        <f t="shared" si="0"/>
        <v>5.9679767103347887E-2</v>
      </c>
    </row>
    <row r="8" spans="1:6" x14ac:dyDescent="0.25">
      <c r="A8" t="s">
        <v>11</v>
      </c>
      <c r="B8" t="s">
        <v>6</v>
      </c>
      <c r="C8" t="s">
        <v>8</v>
      </c>
      <c r="D8">
        <v>401</v>
      </c>
      <c r="E8">
        <v>12</v>
      </c>
      <c r="F8" s="3">
        <f t="shared" si="0"/>
        <v>2.9925187032418952E-2</v>
      </c>
    </row>
    <row r="9" spans="1:6" x14ac:dyDescent="0.25">
      <c r="A9" t="s">
        <v>11</v>
      </c>
      <c r="B9" t="s">
        <v>6</v>
      </c>
      <c r="C9" t="s">
        <v>8</v>
      </c>
      <c r="D9">
        <v>572</v>
      </c>
      <c r="E9">
        <v>36</v>
      </c>
      <c r="F9" s="3">
        <f t="shared" si="0"/>
        <v>6.2937062937062943E-2</v>
      </c>
    </row>
    <row r="10" spans="1:6" x14ac:dyDescent="0.25">
      <c r="A10" t="s">
        <v>11</v>
      </c>
      <c r="B10" t="s">
        <v>12</v>
      </c>
      <c r="C10" t="s">
        <v>8</v>
      </c>
      <c r="D10">
        <v>492</v>
      </c>
      <c r="E10">
        <v>26</v>
      </c>
      <c r="F10" s="3">
        <f t="shared" si="0"/>
        <v>5.2845528455284556E-2</v>
      </c>
    </row>
    <row r="11" spans="1:6" x14ac:dyDescent="0.25">
      <c r="A11" t="s">
        <v>13</v>
      </c>
      <c r="B11" t="s">
        <v>6</v>
      </c>
      <c r="C11" t="s">
        <v>8</v>
      </c>
      <c r="D11">
        <v>408</v>
      </c>
      <c r="E11">
        <v>43</v>
      </c>
      <c r="F11" s="3">
        <f t="shared" si="0"/>
        <v>0.1053921568627451</v>
      </c>
    </row>
    <row r="12" spans="1:6" x14ac:dyDescent="0.25">
      <c r="A12" t="s">
        <v>13</v>
      </c>
      <c r="B12" t="s">
        <v>12</v>
      </c>
      <c r="C12" t="s">
        <v>7</v>
      </c>
      <c r="D12">
        <v>681</v>
      </c>
      <c r="E12">
        <v>29</v>
      </c>
      <c r="F12" s="3">
        <f t="shared" si="0"/>
        <v>4.2584434654919234E-2</v>
      </c>
    </row>
    <row r="13" spans="1:6" x14ac:dyDescent="0.25">
      <c r="A13" t="s">
        <v>13</v>
      </c>
      <c r="B13" t="s">
        <v>9</v>
      </c>
      <c r="C13" t="s">
        <v>8</v>
      </c>
      <c r="D13">
        <v>415</v>
      </c>
      <c r="E13">
        <v>10</v>
      </c>
      <c r="F13" s="3">
        <f t="shared" si="0"/>
        <v>2.4096385542168676E-2</v>
      </c>
    </row>
    <row r="14" spans="1:6" x14ac:dyDescent="0.25">
      <c r="A14" t="s">
        <v>14</v>
      </c>
      <c r="B14" t="s">
        <v>12</v>
      </c>
      <c r="C14" t="s">
        <v>8</v>
      </c>
      <c r="D14">
        <v>493</v>
      </c>
      <c r="E14">
        <v>10</v>
      </c>
      <c r="F14" s="3">
        <f t="shared" si="0"/>
        <v>2.0283975659229209E-2</v>
      </c>
    </row>
    <row r="15" spans="1:6" x14ac:dyDescent="0.25">
      <c r="A15" t="s">
        <v>14</v>
      </c>
      <c r="B15" t="s">
        <v>6</v>
      </c>
      <c r="C15" t="s">
        <v>7</v>
      </c>
      <c r="D15">
        <v>679</v>
      </c>
      <c r="E15">
        <v>50</v>
      </c>
      <c r="F15" s="3">
        <f t="shared" si="0"/>
        <v>7.3637702503681887E-2</v>
      </c>
    </row>
    <row r="16" spans="1:6" x14ac:dyDescent="0.25">
      <c r="A16" t="s">
        <v>14</v>
      </c>
      <c r="B16" t="s">
        <v>9</v>
      </c>
      <c r="C16" t="s">
        <v>7</v>
      </c>
      <c r="D16">
        <v>605</v>
      </c>
      <c r="E16">
        <v>13</v>
      </c>
      <c r="F16" s="3">
        <f t="shared" si="0"/>
        <v>2.1487603305785124E-2</v>
      </c>
    </row>
    <row r="17" spans="1:6" x14ac:dyDescent="0.25">
      <c r="A17" t="s">
        <v>15</v>
      </c>
      <c r="B17" t="s">
        <v>9</v>
      </c>
      <c r="C17" t="s">
        <v>8</v>
      </c>
      <c r="D17">
        <v>611</v>
      </c>
      <c r="E17">
        <v>34</v>
      </c>
      <c r="F17" s="3">
        <f t="shared" si="0"/>
        <v>5.5646481178396073E-2</v>
      </c>
    </row>
    <row r="18" spans="1:6" x14ac:dyDescent="0.25">
      <c r="A18" t="s">
        <v>15</v>
      </c>
      <c r="B18" t="s">
        <v>6</v>
      </c>
      <c r="C18" t="s">
        <v>7</v>
      </c>
      <c r="D18">
        <v>638</v>
      </c>
      <c r="E18">
        <v>11</v>
      </c>
      <c r="F18" s="3">
        <f t="shared" si="0"/>
        <v>1.7241379310344827E-2</v>
      </c>
    </row>
    <row r="19" spans="1:6" x14ac:dyDescent="0.25">
      <c r="A19" t="s">
        <v>15</v>
      </c>
      <c r="B19" t="s">
        <v>6</v>
      </c>
      <c r="C19" t="s">
        <v>8</v>
      </c>
      <c r="D19">
        <v>623</v>
      </c>
      <c r="E19">
        <v>40</v>
      </c>
      <c r="F19" s="3">
        <f t="shared" si="0"/>
        <v>6.4205457463884424E-2</v>
      </c>
    </row>
    <row r="20" spans="1:6" x14ac:dyDescent="0.25">
      <c r="A20" t="s">
        <v>16</v>
      </c>
      <c r="B20" t="s">
        <v>6</v>
      </c>
      <c r="C20" t="s">
        <v>7</v>
      </c>
      <c r="D20">
        <v>459</v>
      </c>
      <c r="E20">
        <v>18</v>
      </c>
      <c r="F20" s="3">
        <f t="shared" si="0"/>
        <v>3.9215686274509803E-2</v>
      </c>
    </row>
    <row r="21" spans="1:6" x14ac:dyDescent="0.25">
      <c r="A21" t="s">
        <v>16</v>
      </c>
      <c r="B21" t="s">
        <v>12</v>
      </c>
      <c r="C21" t="s">
        <v>8</v>
      </c>
      <c r="D21">
        <v>573</v>
      </c>
      <c r="E21">
        <v>32</v>
      </c>
      <c r="F21" s="3">
        <f t="shared" si="0"/>
        <v>5.5846422338568937E-2</v>
      </c>
    </row>
    <row r="22" spans="1:6" x14ac:dyDescent="0.25">
      <c r="A22" t="s">
        <v>16</v>
      </c>
      <c r="B22" t="s">
        <v>9</v>
      </c>
      <c r="C22" t="s">
        <v>7</v>
      </c>
      <c r="D22">
        <v>459</v>
      </c>
      <c r="E22">
        <v>11</v>
      </c>
      <c r="F22" s="3">
        <f t="shared" si="0"/>
        <v>2.3965141612200435E-2</v>
      </c>
    </row>
    <row r="23" spans="1:6" x14ac:dyDescent="0.25">
      <c r="A23" t="s">
        <v>17</v>
      </c>
      <c r="B23" t="s">
        <v>6</v>
      </c>
      <c r="C23" t="s">
        <v>7</v>
      </c>
      <c r="D23">
        <v>684</v>
      </c>
      <c r="E23">
        <v>14</v>
      </c>
      <c r="F23" s="3">
        <f t="shared" si="0"/>
        <v>2.046783625730994E-2</v>
      </c>
    </row>
    <row r="24" spans="1:6" x14ac:dyDescent="0.25">
      <c r="A24" t="s">
        <v>17</v>
      </c>
      <c r="B24" t="s">
        <v>9</v>
      </c>
      <c r="C24" t="s">
        <v>8</v>
      </c>
      <c r="D24">
        <v>613</v>
      </c>
      <c r="E24">
        <v>48</v>
      </c>
      <c r="F24" s="3">
        <f t="shared" si="0"/>
        <v>7.8303425774877644E-2</v>
      </c>
    </row>
    <row r="25" spans="1:6" x14ac:dyDescent="0.25">
      <c r="A25" t="s">
        <v>17</v>
      </c>
      <c r="B25" t="s">
        <v>9</v>
      </c>
      <c r="C25" t="s">
        <v>7</v>
      </c>
      <c r="D25">
        <v>478</v>
      </c>
      <c r="E25">
        <v>13</v>
      </c>
      <c r="F25" s="3">
        <f t="shared" si="0"/>
        <v>2.7196652719665274E-2</v>
      </c>
    </row>
    <row r="26" spans="1:6" x14ac:dyDescent="0.25">
      <c r="A26" t="s">
        <v>18</v>
      </c>
      <c r="B26" t="s">
        <v>6</v>
      </c>
      <c r="C26" t="s">
        <v>8</v>
      </c>
      <c r="D26">
        <v>470</v>
      </c>
      <c r="E26">
        <v>43</v>
      </c>
      <c r="F26" s="3">
        <f t="shared" si="0"/>
        <v>9.1489361702127653E-2</v>
      </c>
    </row>
    <row r="27" spans="1:6" x14ac:dyDescent="0.25">
      <c r="A27" t="s">
        <v>18</v>
      </c>
      <c r="B27" t="s">
        <v>12</v>
      </c>
      <c r="C27" t="s">
        <v>7</v>
      </c>
      <c r="D27">
        <v>689</v>
      </c>
      <c r="E27">
        <v>32</v>
      </c>
      <c r="F27" s="3">
        <f t="shared" si="0"/>
        <v>4.6444121915820029E-2</v>
      </c>
    </row>
    <row r="28" spans="1:6" x14ac:dyDescent="0.25">
      <c r="A28" t="s">
        <v>18</v>
      </c>
      <c r="B28" t="s">
        <v>6</v>
      </c>
      <c r="C28" t="s">
        <v>8</v>
      </c>
      <c r="D28">
        <v>631</v>
      </c>
      <c r="E28">
        <v>13</v>
      </c>
      <c r="F28" s="3">
        <f t="shared" si="0"/>
        <v>2.0602218700475437E-2</v>
      </c>
    </row>
    <row r="29" spans="1:6" x14ac:dyDescent="0.25">
      <c r="A29" t="s">
        <v>19</v>
      </c>
      <c r="B29" t="s">
        <v>9</v>
      </c>
      <c r="C29" t="s">
        <v>8</v>
      </c>
      <c r="D29">
        <v>589</v>
      </c>
      <c r="E29">
        <v>14</v>
      </c>
      <c r="F29" s="3">
        <f t="shared" si="0"/>
        <v>2.3769100169779286E-2</v>
      </c>
    </row>
    <row r="30" spans="1:6" x14ac:dyDescent="0.25">
      <c r="A30" t="s">
        <v>19</v>
      </c>
      <c r="B30" t="s">
        <v>12</v>
      </c>
      <c r="C30" t="s">
        <v>7</v>
      </c>
      <c r="D30">
        <v>691</v>
      </c>
      <c r="E30">
        <v>32</v>
      </c>
      <c r="F30" s="3">
        <f t="shared" si="0"/>
        <v>4.6309696092619389E-2</v>
      </c>
    </row>
    <row r="31" spans="1:6" x14ac:dyDescent="0.25">
      <c r="A31" t="s">
        <v>19</v>
      </c>
      <c r="B31" t="s">
        <v>6</v>
      </c>
      <c r="C31" t="s">
        <v>7</v>
      </c>
      <c r="D31">
        <v>582</v>
      </c>
      <c r="E31">
        <v>11</v>
      </c>
      <c r="F31" s="3">
        <f t="shared" si="0"/>
        <v>1.8900343642611683E-2</v>
      </c>
    </row>
    <row r="32" spans="1:6" x14ac:dyDescent="0.25">
      <c r="A32" t="s">
        <v>20</v>
      </c>
      <c r="B32" t="s">
        <v>9</v>
      </c>
      <c r="C32" t="s">
        <v>8</v>
      </c>
      <c r="D32">
        <v>519</v>
      </c>
      <c r="E32">
        <v>10</v>
      </c>
      <c r="F32" s="3">
        <f t="shared" si="0"/>
        <v>1.9267822736030827E-2</v>
      </c>
    </row>
    <row r="33" spans="1:6" x14ac:dyDescent="0.25">
      <c r="A33" t="s">
        <v>20</v>
      </c>
      <c r="B33" t="s">
        <v>12</v>
      </c>
      <c r="C33" t="s">
        <v>7</v>
      </c>
      <c r="D33">
        <v>699</v>
      </c>
      <c r="E33">
        <v>41</v>
      </c>
      <c r="F33" s="3">
        <f t="shared" si="0"/>
        <v>5.8655221745350504E-2</v>
      </c>
    </row>
    <row r="34" spans="1:6" x14ac:dyDescent="0.25">
      <c r="A34" t="s">
        <v>20</v>
      </c>
      <c r="B34" t="s">
        <v>6</v>
      </c>
      <c r="C34" t="s">
        <v>8</v>
      </c>
      <c r="D34">
        <v>686</v>
      </c>
      <c r="E34">
        <v>24</v>
      </c>
      <c r="F34" s="3">
        <f t="shared" si="0"/>
        <v>3.4985422740524783E-2</v>
      </c>
    </row>
    <row r="35" spans="1:6" x14ac:dyDescent="0.25">
      <c r="A35" t="s">
        <v>21</v>
      </c>
      <c r="B35" t="s">
        <v>9</v>
      </c>
      <c r="C35" t="s">
        <v>7</v>
      </c>
      <c r="D35">
        <v>576</v>
      </c>
      <c r="E35">
        <v>42</v>
      </c>
      <c r="F35" s="3">
        <f t="shared" si="0"/>
        <v>7.2916666666666671E-2</v>
      </c>
    </row>
    <row r="36" spans="1:6" x14ac:dyDescent="0.25">
      <c r="A36" t="s">
        <v>21</v>
      </c>
      <c r="B36" t="s">
        <v>6</v>
      </c>
      <c r="C36" t="s">
        <v>8</v>
      </c>
      <c r="D36">
        <v>612</v>
      </c>
      <c r="E36">
        <v>50</v>
      </c>
      <c r="F36" s="3">
        <f t="shared" si="0"/>
        <v>8.1699346405228759E-2</v>
      </c>
    </row>
    <row r="37" spans="1:6" x14ac:dyDescent="0.25">
      <c r="A37" t="s">
        <v>21</v>
      </c>
      <c r="B37" t="s">
        <v>12</v>
      </c>
      <c r="C37" t="s">
        <v>7</v>
      </c>
      <c r="D37">
        <v>656</v>
      </c>
      <c r="E37">
        <v>50</v>
      </c>
      <c r="F37" s="3">
        <f t="shared" si="0"/>
        <v>7.621951219512195E-2</v>
      </c>
    </row>
    <row r="38" spans="1:6" x14ac:dyDescent="0.25">
      <c r="A38" t="s">
        <v>22</v>
      </c>
      <c r="B38" t="s">
        <v>12</v>
      </c>
      <c r="C38" t="s">
        <v>7</v>
      </c>
      <c r="D38">
        <v>448</v>
      </c>
      <c r="E38">
        <v>30</v>
      </c>
      <c r="F38" s="3">
        <f t="shared" si="0"/>
        <v>6.6964285714285712E-2</v>
      </c>
    </row>
    <row r="39" spans="1:6" x14ac:dyDescent="0.25">
      <c r="A39" t="s">
        <v>22</v>
      </c>
      <c r="B39" t="s">
        <v>12</v>
      </c>
      <c r="C39" t="s">
        <v>8</v>
      </c>
      <c r="D39">
        <v>684</v>
      </c>
      <c r="E39">
        <v>38</v>
      </c>
      <c r="F39" s="3">
        <f t="shared" si="0"/>
        <v>5.5555555555555552E-2</v>
      </c>
    </row>
    <row r="40" spans="1:6" x14ac:dyDescent="0.25">
      <c r="A40" t="s">
        <v>22</v>
      </c>
      <c r="B40" t="s">
        <v>6</v>
      </c>
      <c r="C40" t="s">
        <v>8</v>
      </c>
      <c r="D40">
        <v>447</v>
      </c>
      <c r="E40">
        <v>45</v>
      </c>
      <c r="F40" s="3">
        <f t="shared" si="0"/>
        <v>0.10067114093959731</v>
      </c>
    </row>
    <row r="41" spans="1:6" x14ac:dyDescent="0.25">
      <c r="A41" t="s">
        <v>23</v>
      </c>
      <c r="B41" t="s">
        <v>6</v>
      </c>
      <c r="C41" t="s">
        <v>7</v>
      </c>
      <c r="D41">
        <v>642</v>
      </c>
      <c r="E41">
        <v>15</v>
      </c>
      <c r="F41" s="3">
        <f t="shared" si="0"/>
        <v>2.336448598130841E-2</v>
      </c>
    </row>
    <row r="42" spans="1:6" x14ac:dyDescent="0.25">
      <c r="A42" t="s">
        <v>23</v>
      </c>
      <c r="B42" t="s">
        <v>6</v>
      </c>
      <c r="C42" t="s">
        <v>7</v>
      </c>
      <c r="D42">
        <v>700</v>
      </c>
      <c r="E42">
        <v>12</v>
      </c>
      <c r="F42" s="3">
        <f t="shared" si="0"/>
        <v>1.7142857142857144E-2</v>
      </c>
    </row>
    <row r="43" spans="1:6" x14ac:dyDescent="0.25">
      <c r="A43" t="s">
        <v>23</v>
      </c>
      <c r="B43" t="s">
        <v>6</v>
      </c>
      <c r="C43" t="s">
        <v>7</v>
      </c>
      <c r="D43">
        <v>494</v>
      </c>
      <c r="E43">
        <v>24</v>
      </c>
      <c r="F43" s="3">
        <f t="shared" si="0"/>
        <v>4.8582995951417005E-2</v>
      </c>
    </row>
    <row r="44" spans="1:6" x14ac:dyDescent="0.25">
      <c r="A44" t="s">
        <v>24</v>
      </c>
      <c r="B44" t="s">
        <v>9</v>
      </c>
      <c r="C44" t="s">
        <v>7</v>
      </c>
      <c r="D44">
        <v>433</v>
      </c>
      <c r="E44">
        <v>29</v>
      </c>
      <c r="F44" s="3">
        <f t="shared" si="0"/>
        <v>6.6974595842956119E-2</v>
      </c>
    </row>
    <row r="45" spans="1:6" x14ac:dyDescent="0.25">
      <c r="A45" t="s">
        <v>24</v>
      </c>
      <c r="B45" t="s">
        <v>6</v>
      </c>
      <c r="C45" t="s">
        <v>7</v>
      </c>
      <c r="D45">
        <v>446</v>
      </c>
      <c r="E45">
        <v>21</v>
      </c>
      <c r="F45" s="3">
        <f t="shared" si="0"/>
        <v>4.708520179372197E-2</v>
      </c>
    </row>
    <row r="46" spans="1:6" x14ac:dyDescent="0.25">
      <c r="A46" t="s">
        <v>24</v>
      </c>
      <c r="B46" t="s">
        <v>9</v>
      </c>
      <c r="C46" t="s">
        <v>7</v>
      </c>
      <c r="D46">
        <v>603</v>
      </c>
      <c r="E46">
        <v>22</v>
      </c>
      <c r="F46" s="3">
        <f t="shared" si="0"/>
        <v>3.6484245439469321E-2</v>
      </c>
    </row>
    <row r="47" spans="1:6" x14ac:dyDescent="0.25">
      <c r="A47" t="s">
        <v>25</v>
      </c>
      <c r="B47" t="s">
        <v>6</v>
      </c>
      <c r="C47" t="s">
        <v>8</v>
      </c>
      <c r="D47">
        <v>654</v>
      </c>
      <c r="E47">
        <v>32</v>
      </c>
      <c r="F47" s="3">
        <f t="shared" si="0"/>
        <v>4.8929663608562692E-2</v>
      </c>
    </row>
    <row r="48" spans="1:6" x14ac:dyDescent="0.25">
      <c r="A48" t="s">
        <v>25</v>
      </c>
      <c r="B48" t="s">
        <v>6</v>
      </c>
      <c r="C48" t="s">
        <v>8</v>
      </c>
      <c r="D48">
        <v>670</v>
      </c>
      <c r="E48">
        <v>22</v>
      </c>
      <c r="F48" s="3">
        <f t="shared" si="0"/>
        <v>3.2835820895522387E-2</v>
      </c>
    </row>
    <row r="49" spans="1:6" x14ac:dyDescent="0.25">
      <c r="A49" t="s">
        <v>25</v>
      </c>
      <c r="B49" t="s">
        <v>12</v>
      </c>
      <c r="C49" t="s">
        <v>8</v>
      </c>
      <c r="D49">
        <v>478</v>
      </c>
      <c r="E49">
        <v>14</v>
      </c>
      <c r="F49" s="3">
        <f t="shared" si="0"/>
        <v>2.9288702928870293E-2</v>
      </c>
    </row>
    <row r="50" spans="1:6" x14ac:dyDescent="0.25">
      <c r="A50" t="s">
        <v>26</v>
      </c>
      <c r="B50" t="s">
        <v>6</v>
      </c>
      <c r="C50" t="s">
        <v>7</v>
      </c>
      <c r="D50">
        <v>486</v>
      </c>
      <c r="E50">
        <v>46</v>
      </c>
      <c r="F50" s="3">
        <f t="shared" si="0"/>
        <v>9.4650205761316872E-2</v>
      </c>
    </row>
    <row r="51" spans="1:6" x14ac:dyDescent="0.25">
      <c r="A51" t="s">
        <v>26</v>
      </c>
      <c r="B51" t="s">
        <v>9</v>
      </c>
      <c r="C51" t="s">
        <v>8</v>
      </c>
      <c r="D51">
        <v>457</v>
      </c>
      <c r="E51">
        <v>41</v>
      </c>
      <c r="F51" s="3">
        <f t="shared" si="0"/>
        <v>8.9715536105032828E-2</v>
      </c>
    </row>
    <row r="52" spans="1:6" x14ac:dyDescent="0.25">
      <c r="A52" t="s">
        <v>26</v>
      </c>
      <c r="B52" t="s">
        <v>9</v>
      </c>
      <c r="C52" t="s">
        <v>7</v>
      </c>
      <c r="D52">
        <v>610</v>
      </c>
      <c r="E52">
        <v>37</v>
      </c>
      <c r="F52" s="3">
        <f t="shared" si="0"/>
        <v>6.0655737704918035E-2</v>
      </c>
    </row>
    <row r="53" spans="1:6" x14ac:dyDescent="0.25">
      <c r="A53" t="s">
        <v>27</v>
      </c>
      <c r="B53" t="s">
        <v>12</v>
      </c>
      <c r="C53" t="s">
        <v>7</v>
      </c>
      <c r="D53">
        <v>605</v>
      </c>
      <c r="E53">
        <v>45</v>
      </c>
      <c r="F53" s="3">
        <f t="shared" si="0"/>
        <v>7.43801652892562E-2</v>
      </c>
    </row>
    <row r="54" spans="1:6" x14ac:dyDescent="0.25">
      <c r="A54" t="s">
        <v>27</v>
      </c>
      <c r="B54" t="s">
        <v>9</v>
      </c>
      <c r="C54" t="s">
        <v>7</v>
      </c>
      <c r="D54">
        <v>413</v>
      </c>
      <c r="E54">
        <v>43</v>
      </c>
      <c r="F54" s="3">
        <f t="shared" si="0"/>
        <v>0.10411622276029056</v>
      </c>
    </row>
    <row r="55" spans="1:6" x14ac:dyDescent="0.25">
      <c r="A55" t="s">
        <v>27</v>
      </c>
      <c r="B55" t="s">
        <v>6</v>
      </c>
      <c r="C55" t="s">
        <v>8</v>
      </c>
      <c r="D55">
        <v>615</v>
      </c>
      <c r="E55">
        <v>38</v>
      </c>
      <c r="F55" s="3">
        <f t="shared" si="0"/>
        <v>6.1788617886178863E-2</v>
      </c>
    </row>
    <row r="56" spans="1:6" x14ac:dyDescent="0.25">
      <c r="A56" t="s">
        <v>28</v>
      </c>
      <c r="B56" t="s">
        <v>6</v>
      </c>
      <c r="C56" t="s">
        <v>8</v>
      </c>
      <c r="D56">
        <v>683</v>
      </c>
      <c r="E56">
        <v>46</v>
      </c>
      <c r="F56" s="3">
        <f t="shared" si="0"/>
        <v>6.7349926793557835E-2</v>
      </c>
    </row>
    <row r="57" spans="1:6" x14ac:dyDescent="0.25">
      <c r="A57" t="s">
        <v>28</v>
      </c>
      <c r="B57" t="s">
        <v>12</v>
      </c>
      <c r="C57" t="s">
        <v>7</v>
      </c>
      <c r="D57">
        <v>428</v>
      </c>
      <c r="E57">
        <v>45</v>
      </c>
      <c r="F57" s="3">
        <f t="shared" si="0"/>
        <v>0.10514018691588785</v>
      </c>
    </row>
    <row r="58" spans="1:6" x14ac:dyDescent="0.25">
      <c r="A58" t="s">
        <v>28</v>
      </c>
      <c r="B58" t="s">
        <v>6</v>
      </c>
      <c r="C58" t="s">
        <v>8</v>
      </c>
      <c r="D58">
        <v>670</v>
      </c>
      <c r="E58">
        <v>21</v>
      </c>
      <c r="F58" s="3">
        <f t="shared" si="0"/>
        <v>3.134328358208955E-2</v>
      </c>
    </row>
    <row r="59" spans="1:6" x14ac:dyDescent="0.25">
      <c r="A59" t="s">
        <v>29</v>
      </c>
      <c r="B59" t="s">
        <v>9</v>
      </c>
      <c r="C59" t="s">
        <v>7</v>
      </c>
      <c r="D59">
        <v>619</v>
      </c>
      <c r="E59">
        <v>50</v>
      </c>
      <c r="F59" s="3">
        <f t="shared" si="0"/>
        <v>8.0775444264943458E-2</v>
      </c>
    </row>
    <row r="60" spans="1:6" x14ac:dyDescent="0.25">
      <c r="A60" t="s">
        <v>29</v>
      </c>
      <c r="B60" t="s">
        <v>9</v>
      </c>
      <c r="C60" t="s">
        <v>7</v>
      </c>
      <c r="D60">
        <v>692</v>
      </c>
      <c r="E60">
        <v>30</v>
      </c>
      <c r="F60" s="3">
        <f t="shared" si="0"/>
        <v>4.3352601156069363E-2</v>
      </c>
    </row>
    <row r="61" spans="1:6" x14ac:dyDescent="0.25">
      <c r="A61" t="s">
        <v>29</v>
      </c>
      <c r="B61" t="s">
        <v>6</v>
      </c>
      <c r="C61" t="s">
        <v>7</v>
      </c>
      <c r="D61">
        <v>481</v>
      </c>
      <c r="E61">
        <v>44</v>
      </c>
      <c r="F61" s="3">
        <f t="shared" si="0"/>
        <v>9.1476091476091481E-2</v>
      </c>
    </row>
    <row r="62" spans="1:6" x14ac:dyDescent="0.25">
      <c r="A62" t="s">
        <v>30</v>
      </c>
      <c r="B62" t="s">
        <v>12</v>
      </c>
      <c r="C62" t="s">
        <v>7</v>
      </c>
      <c r="D62">
        <v>595</v>
      </c>
      <c r="E62">
        <v>22</v>
      </c>
      <c r="F62" s="3">
        <f t="shared" si="0"/>
        <v>3.6974789915966387E-2</v>
      </c>
    </row>
    <row r="63" spans="1:6" x14ac:dyDescent="0.25">
      <c r="A63" t="s">
        <v>30</v>
      </c>
      <c r="B63" t="s">
        <v>6</v>
      </c>
      <c r="C63" t="s">
        <v>8</v>
      </c>
      <c r="D63">
        <v>410</v>
      </c>
      <c r="E63">
        <v>46</v>
      </c>
      <c r="F63" s="3">
        <f t="shared" si="0"/>
        <v>0.11219512195121951</v>
      </c>
    </row>
    <row r="64" spans="1:6" x14ac:dyDescent="0.25">
      <c r="A64" t="s">
        <v>30</v>
      </c>
      <c r="B64" t="s">
        <v>9</v>
      </c>
      <c r="C64" t="s">
        <v>8</v>
      </c>
      <c r="D64">
        <v>408</v>
      </c>
      <c r="E64">
        <v>15</v>
      </c>
      <c r="F64" s="3">
        <f t="shared" si="0"/>
        <v>3.6764705882352942E-2</v>
      </c>
    </row>
    <row r="65" spans="1:6" x14ac:dyDescent="0.25">
      <c r="A65" t="s">
        <v>31</v>
      </c>
      <c r="B65" t="s">
        <v>9</v>
      </c>
      <c r="C65" t="s">
        <v>7</v>
      </c>
      <c r="D65">
        <v>511</v>
      </c>
      <c r="E65">
        <v>41</v>
      </c>
      <c r="F65" s="3">
        <f t="shared" si="0"/>
        <v>8.0234833659491189E-2</v>
      </c>
    </row>
    <row r="66" spans="1:6" x14ac:dyDescent="0.25">
      <c r="A66" t="s">
        <v>31</v>
      </c>
      <c r="B66" t="s">
        <v>6</v>
      </c>
      <c r="C66" t="s">
        <v>7</v>
      </c>
      <c r="D66">
        <v>540</v>
      </c>
      <c r="E66">
        <v>28</v>
      </c>
      <c r="F66" s="3">
        <f t="shared" si="0"/>
        <v>5.185185185185185E-2</v>
      </c>
    </row>
    <row r="67" spans="1:6" x14ac:dyDescent="0.25">
      <c r="A67" t="s">
        <v>31</v>
      </c>
      <c r="B67" t="s">
        <v>9</v>
      </c>
      <c r="C67" t="s">
        <v>8</v>
      </c>
      <c r="D67">
        <v>661</v>
      </c>
      <c r="E67">
        <v>17</v>
      </c>
      <c r="F67" s="3">
        <f t="shared" ref="F67:F130" si="1">E67/D67</f>
        <v>2.5718608169440244E-2</v>
      </c>
    </row>
    <row r="68" spans="1:6" x14ac:dyDescent="0.25">
      <c r="A68" t="s">
        <v>32</v>
      </c>
      <c r="B68" t="s">
        <v>6</v>
      </c>
      <c r="C68" t="s">
        <v>8</v>
      </c>
      <c r="D68">
        <v>493</v>
      </c>
      <c r="E68">
        <v>20</v>
      </c>
      <c r="F68" s="3">
        <f t="shared" si="1"/>
        <v>4.0567951318458417E-2</v>
      </c>
    </row>
    <row r="69" spans="1:6" x14ac:dyDescent="0.25">
      <c r="A69" t="s">
        <v>32</v>
      </c>
      <c r="B69" t="s">
        <v>9</v>
      </c>
      <c r="C69" t="s">
        <v>8</v>
      </c>
      <c r="D69">
        <v>424</v>
      </c>
      <c r="E69">
        <v>36</v>
      </c>
      <c r="F69" s="3">
        <f t="shared" si="1"/>
        <v>8.4905660377358486E-2</v>
      </c>
    </row>
    <row r="70" spans="1:6" x14ac:dyDescent="0.25">
      <c r="A70" t="s">
        <v>32</v>
      </c>
      <c r="B70" t="s">
        <v>12</v>
      </c>
      <c r="C70" t="s">
        <v>7</v>
      </c>
      <c r="D70">
        <v>411</v>
      </c>
      <c r="E70">
        <v>30</v>
      </c>
      <c r="F70" s="3">
        <f t="shared" si="1"/>
        <v>7.2992700729927001E-2</v>
      </c>
    </row>
    <row r="71" spans="1:6" x14ac:dyDescent="0.25">
      <c r="A71" t="s">
        <v>33</v>
      </c>
      <c r="B71" t="s">
        <v>6</v>
      </c>
      <c r="C71" t="s">
        <v>7</v>
      </c>
      <c r="D71">
        <v>589</v>
      </c>
      <c r="E71">
        <v>34</v>
      </c>
      <c r="F71" s="3">
        <f t="shared" si="1"/>
        <v>5.7724957555178265E-2</v>
      </c>
    </row>
    <row r="72" spans="1:6" x14ac:dyDescent="0.25">
      <c r="A72" t="s">
        <v>33</v>
      </c>
      <c r="B72" t="s">
        <v>6</v>
      </c>
      <c r="C72" t="s">
        <v>8</v>
      </c>
      <c r="D72">
        <v>410</v>
      </c>
      <c r="E72">
        <v>44</v>
      </c>
      <c r="F72" s="3">
        <f t="shared" si="1"/>
        <v>0.10731707317073171</v>
      </c>
    </row>
    <row r="73" spans="1:6" x14ac:dyDescent="0.25">
      <c r="A73" t="s">
        <v>33</v>
      </c>
      <c r="B73" t="s">
        <v>6</v>
      </c>
      <c r="C73" t="s">
        <v>7</v>
      </c>
      <c r="D73">
        <v>541</v>
      </c>
      <c r="E73">
        <v>21</v>
      </c>
      <c r="F73" s="3">
        <f t="shared" si="1"/>
        <v>3.8817005545286505E-2</v>
      </c>
    </row>
    <row r="74" spans="1:6" x14ac:dyDescent="0.25">
      <c r="A74" t="s">
        <v>34</v>
      </c>
      <c r="B74" t="s">
        <v>9</v>
      </c>
      <c r="C74" t="s">
        <v>8</v>
      </c>
      <c r="D74">
        <v>463</v>
      </c>
      <c r="E74">
        <v>23</v>
      </c>
      <c r="F74" s="3">
        <f t="shared" si="1"/>
        <v>4.9676025917926567E-2</v>
      </c>
    </row>
    <row r="75" spans="1:6" x14ac:dyDescent="0.25">
      <c r="A75" t="s">
        <v>34</v>
      </c>
      <c r="B75" t="s">
        <v>12</v>
      </c>
      <c r="C75" t="s">
        <v>7</v>
      </c>
      <c r="D75">
        <v>430</v>
      </c>
      <c r="E75">
        <v>25</v>
      </c>
      <c r="F75" s="3">
        <f t="shared" si="1"/>
        <v>5.8139534883720929E-2</v>
      </c>
    </row>
    <row r="76" spans="1:6" x14ac:dyDescent="0.25">
      <c r="A76" t="s">
        <v>34</v>
      </c>
      <c r="B76" t="s">
        <v>12</v>
      </c>
      <c r="C76" t="s">
        <v>8</v>
      </c>
      <c r="D76">
        <v>452</v>
      </c>
      <c r="E76">
        <v>24</v>
      </c>
      <c r="F76" s="3">
        <f t="shared" si="1"/>
        <v>5.3097345132743362E-2</v>
      </c>
    </row>
    <row r="77" spans="1:6" x14ac:dyDescent="0.25">
      <c r="A77" t="s">
        <v>35</v>
      </c>
      <c r="B77" t="s">
        <v>12</v>
      </c>
      <c r="C77" t="s">
        <v>7</v>
      </c>
      <c r="D77">
        <v>434</v>
      </c>
      <c r="E77">
        <v>38</v>
      </c>
      <c r="F77" s="3">
        <f t="shared" si="1"/>
        <v>8.755760368663594E-2</v>
      </c>
    </row>
    <row r="78" spans="1:6" x14ac:dyDescent="0.25">
      <c r="A78" t="s">
        <v>35</v>
      </c>
      <c r="B78" t="s">
        <v>6</v>
      </c>
      <c r="C78" t="s">
        <v>7</v>
      </c>
      <c r="D78">
        <v>408</v>
      </c>
      <c r="E78">
        <v>10</v>
      </c>
      <c r="F78" s="3">
        <f t="shared" si="1"/>
        <v>2.4509803921568627E-2</v>
      </c>
    </row>
    <row r="79" spans="1:6" x14ac:dyDescent="0.25">
      <c r="A79" t="s">
        <v>35</v>
      </c>
      <c r="B79" t="s">
        <v>6</v>
      </c>
      <c r="C79" t="s">
        <v>8</v>
      </c>
      <c r="D79">
        <v>485</v>
      </c>
      <c r="E79">
        <v>41</v>
      </c>
      <c r="F79" s="3">
        <f t="shared" si="1"/>
        <v>8.4536082474226809E-2</v>
      </c>
    </row>
    <row r="80" spans="1:6" x14ac:dyDescent="0.25">
      <c r="A80" t="s">
        <v>36</v>
      </c>
      <c r="B80" t="s">
        <v>9</v>
      </c>
      <c r="C80" t="s">
        <v>7</v>
      </c>
      <c r="D80">
        <v>458</v>
      </c>
      <c r="E80">
        <v>22</v>
      </c>
      <c r="F80" s="3">
        <f t="shared" si="1"/>
        <v>4.8034934497816595E-2</v>
      </c>
    </row>
    <row r="81" spans="1:6" x14ac:dyDescent="0.25">
      <c r="A81" t="s">
        <v>36</v>
      </c>
      <c r="B81" t="s">
        <v>6</v>
      </c>
      <c r="C81" t="s">
        <v>8</v>
      </c>
      <c r="D81">
        <v>441</v>
      </c>
      <c r="E81">
        <v>19</v>
      </c>
      <c r="F81" s="3">
        <f t="shared" si="1"/>
        <v>4.3083900226757371E-2</v>
      </c>
    </row>
    <row r="82" spans="1:6" x14ac:dyDescent="0.25">
      <c r="A82" t="s">
        <v>36</v>
      </c>
      <c r="B82" t="s">
        <v>9</v>
      </c>
      <c r="C82" t="s">
        <v>7</v>
      </c>
      <c r="D82">
        <v>425</v>
      </c>
      <c r="E82">
        <v>39</v>
      </c>
      <c r="F82" s="3">
        <f t="shared" si="1"/>
        <v>9.1764705882352943E-2</v>
      </c>
    </row>
    <row r="83" spans="1:6" x14ac:dyDescent="0.25">
      <c r="A83" t="s">
        <v>37</v>
      </c>
      <c r="B83" t="s">
        <v>6</v>
      </c>
      <c r="C83" t="s">
        <v>7</v>
      </c>
      <c r="D83">
        <v>589</v>
      </c>
      <c r="E83">
        <v>36</v>
      </c>
      <c r="F83" s="3">
        <f t="shared" si="1"/>
        <v>6.1120543293718167E-2</v>
      </c>
    </row>
    <row r="84" spans="1:6" x14ac:dyDescent="0.25">
      <c r="A84" t="s">
        <v>37</v>
      </c>
      <c r="B84" t="s">
        <v>6</v>
      </c>
      <c r="C84" t="s">
        <v>8</v>
      </c>
      <c r="D84">
        <v>700</v>
      </c>
      <c r="E84">
        <v>43</v>
      </c>
      <c r="F84" s="3">
        <f t="shared" si="1"/>
        <v>6.142857142857143E-2</v>
      </c>
    </row>
    <row r="85" spans="1:6" x14ac:dyDescent="0.25">
      <c r="A85" t="s">
        <v>37</v>
      </c>
      <c r="B85" t="s">
        <v>9</v>
      </c>
      <c r="C85" t="s">
        <v>7</v>
      </c>
      <c r="D85">
        <v>501</v>
      </c>
      <c r="E85">
        <v>25</v>
      </c>
      <c r="F85" s="3">
        <f t="shared" si="1"/>
        <v>4.9900199600798403E-2</v>
      </c>
    </row>
    <row r="86" spans="1:6" x14ac:dyDescent="0.25">
      <c r="A86" t="s">
        <v>38</v>
      </c>
      <c r="B86" t="s">
        <v>12</v>
      </c>
      <c r="C86" t="s">
        <v>8</v>
      </c>
      <c r="D86">
        <v>495</v>
      </c>
      <c r="E86">
        <v>13</v>
      </c>
      <c r="F86" s="3">
        <f t="shared" si="1"/>
        <v>2.6262626262626262E-2</v>
      </c>
    </row>
    <row r="87" spans="1:6" x14ac:dyDescent="0.25">
      <c r="A87" t="s">
        <v>38</v>
      </c>
      <c r="B87" t="s">
        <v>6</v>
      </c>
      <c r="C87" t="s">
        <v>7</v>
      </c>
      <c r="D87">
        <v>601</v>
      </c>
      <c r="E87">
        <v>32</v>
      </c>
      <c r="F87" s="3">
        <f t="shared" si="1"/>
        <v>5.3244592346089852E-2</v>
      </c>
    </row>
    <row r="88" spans="1:6" x14ac:dyDescent="0.25">
      <c r="A88" t="s">
        <v>38</v>
      </c>
      <c r="B88" t="s">
        <v>12</v>
      </c>
      <c r="C88" t="s">
        <v>8</v>
      </c>
      <c r="D88">
        <v>568</v>
      </c>
      <c r="E88">
        <v>45</v>
      </c>
      <c r="F88" s="3">
        <f t="shared" si="1"/>
        <v>7.9225352112676062E-2</v>
      </c>
    </row>
    <row r="89" spans="1:6" x14ac:dyDescent="0.25">
      <c r="A89" t="s">
        <v>39</v>
      </c>
      <c r="B89" t="s">
        <v>6</v>
      </c>
      <c r="C89" t="s">
        <v>7</v>
      </c>
      <c r="D89">
        <v>561</v>
      </c>
      <c r="E89">
        <v>43</v>
      </c>
      <c r="F89" s="3">
        <f t="shared" si="1"/>
        <v>7.6648841354723704E-2</v>
      </c>
    </row>
    <row r="90" spans="1:6" x14ac:dyDescent="0.25">
      <c r="A90" t="s">
        <v>39</v>
      </c>
      <c r="B90" t="s">
        <v>12</v>
      </c>
      <c r="C90" t="s">
        <v>7</v>
      </c>
      <c r="D90">
        <v>404</v>
      </c>
      <c r="E90">
        <v>15</v>
      </c>
      <c r="F90" s="3">
        <f t="shared" si="1"/>
        <v>3.7128712871287127E-2</v>
      </c>
    </row>
    <row r="91" spans="1:6" x14ac:dyDescent="0.25">
      <c r="A91" t="s">
        <v>39</v>
      </c>
      <c r="B91" t="s">
        <v>9</v>
      </c>
      <c r="C91" t="s">
        <v>8</v>
      </c>
      <c r="D91">
        <v>457</v>
      </c>
      <c r="E91">
        <v>15</v>
      </c>
      <c r="F91" s="3">
        <f t="shared" si="1"/>
        <v>3.2822757111597371E-2</v>
      </c>
    </row>
    <row r="92" spans="1:6" x14ac:dyDescent="0.25">
      <c r="A92" t="s">
        <v>40</v>
      </c>
      <c r="B92" t="s">
        <v>9</v>
      </c>
      <c r="C92" t="s">
        <v>7</v>
      </c>
      <c r="D92">
        <v>425</v>
      </c>
      <c r="E92">
        <v>47</v>
      </c>
      <c r="F92" s="3">
        <f t="shared" si="1"/>
        <v>0.11058823529411765</v>
      </c>
    </row>
    <row r="93" spans="1:6" x14ac:dyDescent="0.25">
      <c r="A93" t="s">
        <v>40</v>
      </c>
      <c r="B93" t="s">
        <v>12</v>
      </c>
      <c r="C93" t="s">
        <v>8</v>
      </c>
      <c r="D93">
        <v>625</v>
      </c>
      <c r="E93">
        <v>10</v>
      </c>
      <c r="F93" s="3">
        <f t="shared" si="1"/>
        <v>1.6E-2</v>
      </c>
    </row>
    <row r="94" spans="1:6" x14ac:dyDescent="0.25">
      <c r="A94" t="s">
        <v>40</v>
      </c>
      <c r="B94" t="s">
        <v>9</v>
      </c>
      <c r="C94" t="s">
        <v>7</v>
      </c>
      <c r="D94">
        <v>454</v>
      </c>
      <c r="E94">
        <v>28</v>
      </c>
      <c r="F94" s="3">
        <f t="shared" si="1"/>
        <v>6.1674008810572688E-2</v>
      </c>
    </row>
    <row r="95" spans="1:6" x14ac:dyDescent="0.25">
      <c r="A95" t="s">
        <v>41</v>
      </c>
      <c r="B95" t="s">
        <v>12</v>
      </c>
      <c r="C95" t="s">
        <v>7</v>
      </c>
      <c r="D95">
        <v>426</v>
      </c>
      <c r="E95">
        <v>16</v>
      </c>
      <c r="F95" s="3">
        <f t="shared" si="1"/>
        <v>3.7558685446009391E-2</v>
      </c>
    </row>
    <row r="96" spans="1:6" x14ac:dyDescent="0.25">
      <c r="A96" t="s">
        <v>41</v>
      </c>
      <c r="B96" t="s">
        <v>9</v>
      </c>
      <c r="C96" t="s">
        <v>7</v>
      </c>
      <c r="D96">
        <v>563</v>
      </c>
      <c r="E96">
        <v>26</v>
      </c>
      <c r="F96" s="3">
        <f t="shared" si="1"/>
        <v>4.6181172291296625E-2</v>
      </c>
    </row>
    <row r="97" spans="1:6" x14ac:dyDescent="0.25">
      <c r="A97" t="s">
        <v>41</v>
      </c>
      <c r="B97" t="s">
        <v>6</v>
      </c>
      <c r="C97" t="s">
        <v>7</v>
      </c>
      <c r="D97">
        <v>624</v>
      </c>
      <c r="E97">
        <v>25</v>
      </c>
      <c r="F97" s="3">
        <f t="shared" si="1"/>
        <v>4.0064102564102567E-2</v>
      </c>
    </row>
    <row r="98" spans="1:6" x14ac:dyDescent="0.25">
      <c r="A98" t="s">
        <v>42</v>
      </c>
      <c r="B98" t="s">
        <v>12</v>
      </c>
      <c r="C98" t="s">
        <v>8</v>
      </c>
      <c r="D98">
        <v>446</v>
      </c>
      <c r="E98">
        <v>13</v>
      </c>
      <c r="F98" s="3">
        <f t="shared" si="1"/>
        <v>2.914798206278027E-2</v>
      </c>
    </row>
    <row r="99" spans="1:6" x14ac:dyDescent="0.25">
      <c r="A99" t="s">
        <v>42</v>
      </c>
      <c r="B99" t="s">
        <v>9</v>
      </c>
      <c r="C99" t="s">
        <v>8</v>
      </c>
      <c r="D99">
        <v>680</v>
      </c>
      <c r="E99">
        <v>11</v>
      </c>
      <c r="F99" s="3">
        <f t="shared" si="1"/>
        <v>1.6176470588235296E-2</v>
      </c>
    </row>
    <row r="100" spans="1:6" x14ac:dyDescent="0.25">
      <c r="A100" t="s">
        <v>42</v>
      </c>
      <c r="B100" t="s">
        <v>12</v>
      </c>
      <c r="C100" t="s">
        <v>8</v>
      </c>
      <c r="D100">
        <v>482</v>
      </c>
      <c r="E100">
        <v>16</v>
      </c>
      <c r="F100" s="3">
        <f t="shared" si="1"/>
        <v>3.3195020746887967E-2</v>
      </c>
    </row>
    <row r="101" spans="1:6" x14ac:dyDescent="0.25">
      <c r="A101" t="s">
        <v>43</v>
      </c>
      <c r="B101" t="s">
        <v>12</v>
      </c>
      <c r="C101" t="s">
        <v>8</v>
      </c>
      <c r="D101">
        <v>643</v>
      </c>
      <c r="E101">
        <v>47</v>
      </c>
      <c r="F101" s="3">
        <f t="shared" si="1"/>
        <v>7.3094867807153963E-2</v>
      </c>
    </row>
    <row r="102" spans="1:6" x14ac:dyDescent="0.25">
      <c r="A102" t="s">
        <v>43</v>
      </c>
      <c r="B102" t="s">
        <v>9</v>
      </c>
      <c r="C102" t="s">
        <v>7</v>
      </c>
      <c r="D102">
        <v>603</v>
      </c>
      <c r="E102">
        <v>17</v>
      </c>
      <c r="F102" s="3">
        <f t="shared" si="1"/>
        <v>2.8192371475953566E-2</v>
      </c>
    </row>
    <row r="103" spans="1:6" x14ac:dyDescent="0.25">
      <c r="A103" t="s">
        <v>43</v>
      </c>
      <c r="B103" t="s">
        <v>6</v>
      </c>
      <c r="C103" t="s">
        <v>7</v>
      </c>
      <c r="D103">
        <v>615</v>
      </c>
      <c r="E103">
        <v>45</v>
      </c>
      <c r="F103" s="3">
        <f t="shared" si="1"/>
        <v>7.3170731707317069E-2</v>
      </c>
    </row>
    <row r="104" spans="1:6" x14ac:dyDescent="0.25">
      <c r="A104" t="s">
        <v>44</v>
      </c>
      <c r="B104" t="s">
        <v>12</v>
      </c>
      <c r="C104" t="s">
        <v>8</v>
      </c>
      <c r="D104">
        <v>434</v>
      </c>
      <c r="E104">
        <v>25</v>
      </c>
      <c r="F104" s="3">
        <f t="shared" si="1"/>
        <v>5.7603686635944701E-2</v>
      </c>
    </row>
    <row r="105" spans="1:6" x14ac:dyDescent="0.25">
      <c r="A105" t="s">
        <v>44</v>
      </c>
      <c r="B105" t="s">
        <v>12</v>
      </c>
      <c r="C105" t="s">
        <v>8</v>
      </c>
      <c r="D105">
        <v>458</v>
      </c>
      <c r="E105">
        <v>37</v>
      </c>
      <c r="F105" s="3">
        <f t="shared" si="1"/>
        <v>8.0786026200873357E-2</v>
      </c>
    </row>
    <row r="106" spans="1:6" x14ac:dyDescent="0.25">
      <c r="A106" t="s">
        <v>44</v>
      </c>
      <c r="B106" t="s">
        <v>12</v>
      </c>
      <c r="C106" t="s">
        <v>7</v>
      </c>
      <c r="D106">
        <v>534</v>
      </c>
      <c r="E106">
        <v>24</v>
      </c>
      <c r="F106" s="3">
        <f t="shared" si="1"/>
        <v>4.49438202247191E-2</v>
      </c>
    </row>
    <row r="107" spans="1:6" x14ac:dyDescent="0.25">
      <c r="A107" t="s">
        <v>45</v>
      </c>
      <c r="B107" t="s">
        <v>6</v>
      </c>
      <c r="C107" t="s">
        <v>7</v>
      </c>
      <c r="D107">
        <v>426</v>
      </c>
      <c r="E107">
        <v>18</v>
      </c>
      <c r="F107" s="3">
        <f t="shared" si="1"/>
        <v>4.2253521126760563E-2</v>
      </c>
    </row>
    <row r="108" spans="1:6" x14ac:dyDescent="0.25">
      <c r="A108" t="s">
        <v>45</v>
      </c>
      <c r="B108" t="s">
        <v>12</v>
      </c>
      <c r="C108" t="s">
        <v>7</v>
      </c>
      <c r="D108">
        <v>573</v>
      </c>
      <c r="E108">
        <v>44</v>
      </c>
      <c r="F108" s="3">
        <f t="shared" si="1"/>
        <v>7.6788830715532289E-2</v>
      </c>
    </row>
    <row r="109" spans="1:6" x14ac:dyDescent="0.25">
      <c r="A109" t="s">
        <v>45</v>
      </c>
      <c r="B109" t="s">
        <v>6</v>
      </c>
      <c r="C109" t="s">
        <v>7</v>
      </c>
      <c r="D109">
        <v>648</v>
      </c>
      <c r="E109">
        <v>34</v>
      </c>
      <c r="F109" s="3">
        <f t="shared" si="1"/>
        <v>5.2469135802469133E-2</v>
      </c>
    </row>
    <row r="110" spans="1:6" x14ac:dyDescent="0.25">
      <c r="A110" t="s">
        <v>46</v>
      </c>
      <c r="B110" t="s">
        <v>6</v>
      </c>
      <c r="C110" t="s">
        <v>7</v>
      </c>
      <c r="D110">
        <v>514</v>
      </c>
      <c r="E110">
        <v>36</v>
      </c>
      <c r="F110" s="3">
        <f t="shared" si="1"/>
        <v>7.0038910505836577E-2</v>
      </c>
    </row>
    <row r="111" spans="1:6" x14ac:dyDescent="0.25">
      <c r="A111" t="s">
        <v>46</v>
      </c>
      <c r="B111" t="s">
        <v>9</v>
      </c>
      <c r="C111" t="s">
        <v>7</v>
      </c>
      <c r="D111">
        <v>465</v>
      </c>
      <c r="E111">
        <v>39</v>
      </c>
      <c r="F111" s="3">
        <f t="shared" si="1"/>
        <v>8.387096774193549E-2</v>
      </c>
    </row>
    <row r="112" spans="1:6" x14ac:dyDescent="0.25">
      <c r="A112" t="s">
        <v>46</v>
      </c>
      <c r="B112" t="s">
        <v>9</v>
      </c>
      <c r="C112" t="s">
        <v>7</v>
      </c>
      <c r="D112">
        <v>668</v>
      </c>
      <c r="E112">
        <v>25</v>
      </c>
      <c r="F112" s="3">
        <f t="shared" si="1"/>
        <v>3.7425149700598799E-2</v>
      </c>
    </row>
    <row r="113" spans="1:6" x14ac:dyDescent="0.25">
      <c r="A113" t="s">
        <v>47</v>
      </c>
      <c r="B113" t="s">
        <v>9</v>
      </c>
      <c r="C113" t="s">
        <v>8</v>
      </c>
      <c r="D113">
        <v>431</v>
      </c>
      <c r="E113">
        <v>27</v>
      </c>
      <c r="F113" s="3">
        <f t="shared" si="1"/>
        <v>6.2645011600928072E-2</v>
      </c>
    </row>
    <row r="114" spans="1:6" x14ac:dyDescent="0.25">
      <c r="A114" t="s">
        <v>47</v>
      </c>
      <c r="B114" t="s">
        <v>12</v>
      </c>
      <c r="C114" t="s">
        <v>8</v>
      </c>
      <c r="D114">
        <v>620</v>
      </c>
      <c r="E114">
        <v>12</v>
      </c>
      <c r="F114" s="3">
        <f t="shared" si="1"/>
        <v>1.935483870967742E-2</v>
      </c>
    </row>
    <row r="115" spans="1:6" x14ac:dyDescent="0.25">
      <c r="A115" t="s">
        <v>47</v>
      </c>
      <c r="B115" t="s">
        <v>12</v>
      </c>
      <c r="C115" t="s">
        <v>7</v>
      </c>
      <c r="D115">
        <v>653</v>
      </c>
      <c r="E115">
        <v>16</v>
      </c>
      <c r="F115" s="3">
        <f t="shared" si="1"/>
        <v>2.4502297090352222E-2</v>
      </c>
    </row>
    <row r="116" spans="1:6" x14ac:dyDescent="0.25">
      <c r="A116" t="s">
        <v>48</v>
      </c>
      <c r="B116" t="s">
        <v>6</v>
      </c>
      <c r="C116" t="s">
        <v>7</v>
      </c>
      <c r="D116">
        <v>416</v>
      </c>
      <c r="E116">
        <v>41</v>
      </c>
      <c r="F116" s="3">
        <f t="shared" si="1"/>
        <v>9.8557692307692304E-2</v>
      </c>
    </row>
    <row r="117" spans="1:6" x14ac:dyDescent="0.25">
      <c r="A117" t="s">
        <v>48</v>
      </c>
      <c r="B117" t="s">
        <v>12</v>
      </c>
      <c r="C117" t="s">
        <v>7</v>
      </c>
      <c r="D117">
        <v>552</v>
      </c>
      <c r="E117">
        <v>20</v>
      </c>
      <c r="F117" s="3">
        <f t="shared" si="1"/>
        <v>3.6231884057971016E-2</v>
      </c>
    </row>
    <row r="118" spans="1:6" x14ac:dyDescent="0.25">
      <c r="A118" t="s">
        <v>48</v>
      </c>
      <c r="B118" t="s">
        <v>9</v>
      </c>
      <c r="C118" t="s">
        <v>7</v>
      </c>
      <c r="D118">
        <v>698</v>
      </c>
      <c r="E118">
        <v>27</v>
      </c>
      <c r="F118" s="3">
        <f t="shared" si="1"/>
        <v>3.8681948424068767E-2</v>
      </c>
    </row>
    <row r="119" spans="1:6" x14ac:dyDescent="0.25">
      <c r="A119" t="s">
        <v>49</v>
      </c>
      <c r="B119" t="s">
        <v>6</v>
      </c>
      <c r="C119" t="s">
        <v>8</v>
      </c>
      <c r="D119">
        <v>440</v>
      </c>
      <c r="E119">
        <v>38</v>
      </c>
      <c r="F119" s="3">
        <f t="shared" si="1"/>
        <v>8.6363636363636365E-2</v>
      </c>
    </row>
    <row r="120" spans="1:6" x14ac:dyDescent="0.25">
      <c r="A120" t="s">
        <v>49</v>
      </c>
      <c r="B120" t="s">
        <v>6</v>
      </c>
      <c r="C120" t="s">
        <v>7</v>
      </c>
      <c r="D120">
        <v>585</v>
      </c>
      <c r="E120">
        <v>43</v>
      </c>
      <c r="F120" s="3">
        <f t="shared" si="1"/>
        <v>7.3504273504273507E-2</v>
      </c>
    </row>
    <row r="121" spans="1:6" x14ac:dyDescent="0.25">
      <c r="A121" t="s">
        <v>49</v>
      </c>
      <c r="B121" t="s">
        <v>12</v>
      </c>
      <c r="C121" t="s">
        <v>7</v>
      </c>
      <c r="D121">
        <v>410</v>
      </c>
      <c r="E121">
        <v>39</v>
      </c>
      <c r="F121" s="3">
        <f t="shared" si="1"/>
        <v>9.5121951219512196E-2</v>
      </c>
    </row>
    <row r="122" spans="1:6" x14ac:dyDescent="0.25">
      <c r="A122" t="s">
        <v>50</v>
      </c>
      <c r="B122" t="s">
        <v>12</v>
      </c>
      <c r="C122" t="s">
        <v>7</v>
      </c>
      <c r="D122">
        <v>508</v>
      </c>
      <c r="E122">
        <v>25</v>
      </c>
      <c r="F122" s="3">
        <f t="shared" si="1"/>
        <v>4.9212598425196853E-2</v>
      </c>
    </row>
    <row r="123" spans="1:6" x14ac:dyDescent="0.25">
      <c r="A123" t="s">
        <v>50</v>
      </c>
      <c r="B123" t="s">
        <v>6</v>
      </c>
      <c r="C123" t="s">
        <v>8</v>
      </c>
      <c r="D123">
        <v>675</v>
      </c>
      <c r="E123">
        <v>50</v>
      </c>
      <c r="F123" s="3">
        <f t="shared" si="1"/>
        <v>7.407407407407407E-2</v>
      </c>
    </row>
    <row r="124" spans="1:6" x14ac:dyDescent="0.25">
      <c r="A124" t="s">
        <v>50</v>
      </c>
      <c r="B124" t="s">
        <v>6</v>
      </c>
      <c r="C124" t="s">
        <v>7</v>
      </c>
      <c r="D124">
        <v>631</v>
      </c>
      <c r="E124">
        <v>31</v>
      </c>
      <c r="F124" s="3">
        <f t="shared" si="1"/>
        <v>4.9128367670364499E-2</v>
      </c>
    </row>
    <row r="125" spans="1:6" x14ac:dyDescent="0.25">
      <c r="A125" t="s">
        <v>51</v>
      </c>
      <c r="B125" t="s">
        <v>9</v>
      </c>
      <c r="C125" t="s">
        <v>7</v>
      </c>
      <c r="D125">
        <v>694</v>
      </c>
      <c r="E125">
        <v>47</v>
      </c>
      <c r="F125" s="3">
        <f t="shared" si="1"/>
        <v>6.7723342939481262E-2</v>
      </c>
    </row>
    <row r="126" spans="1:6" x14ac:dyDescent="0.25">
      <c r="A126" t="s">
        <v>51</v>
      </c>
      <c r="B126" t="s">
        <v>9</v>
      </c>
      <c r="C126" t="s">
        <v>8</v>
      </c>
      <c r="D126">
        <v>639</v>
      </c>
      <c r="E126">
        <v>15</v>
      </c>
      <c r="F126" s="3">
        <f t="shared" si="1"/>
        <v>2.3474178403755867E-2</v>
      </c>
    </row>
    <row r="127" spans="1:6" x14ac:dyDescent="0.25">
      <c r="A127" t="s">
        <v>51</v>
      </c>
      <c r="B127" t="s">
        <v>9</v>
      </c>
      <c r="C127" t="s">
        <v>8</v>
      </c>
      <c r="D127">
        <v>436</v>
      </c>
      <c r="E127">
        <v>30</v>
      </c>
      <c r="F127" s="3">
        <f t="shared" si="1"/>
        <v>6.8807339449541288E-2</v>
      </c>
    </row>
    <row r="128" spans="1:6" x14ac:dyDescent="0.25">
      <c r="A128" t="s">
        <v>52</v>
      </c>
      <c r="B128" t="s">
        <v>6</v>
      </c>
      <c r="C128" t="s">
        <v>7</v>
      </c>
      <c r="D128">
        <v>563</v>
      </c>
      <c r="E128">
        <v>37</v>
      </c>
      <c r="F128" s="3">
        <f t="shared" si="1"/>
        <v>6.5719360568383664E-2</v>
      </c>
    </row>
    <row r="129" spans="1:6" x14ac:dyDescent="0.25">
      <c r="A129" t="s">
        <v>52</v>
      </c>
      <c r="B129" t="s">
        <v>6</v>
      </c>
      <c r="C129" t="s">
        <v>8</v>
      </c>
      <c r="D129">
        <v>428</v>
      </c>
      <c r="E129">
        <v>23</v>
      </c>
      <c r="F129" s="3">
        <f t="shared" si="1"/>
        <v>5.3738317757009345E-2</v>
      </c>
    </row>
    <row r="130" spans="1:6" x14ac:dyDescent="0.25">
      <c r="A130" t="s">
        <v>52</v>
      </c>
      <c r="B130" t="s">
        <v>9</v>
      </c>
      <c r="C130" t="s">
        <v>7</v>
      </c>
      <c r="D130">
        <v>551</v>
      </c>
      <c r="E130">
        <v>12</v>
      </c>
      <c r="F130" s="3">
        <f t="shared" si="1"/>
        <v>2.1778584392014518E-2</v>
      </c>
    </row>
    <row r="131" spans="1:6" x14ac:dyDescent="0.25">
      <c r="A131" t="s">
        <v>53</v>
      </c>
      <c r="B131" t="s">
        <v>12</v>
      </c>
      <c r="C131" t="s">
        <v>8</v>
      </c>
      <c r="D131">
        <v>463</v>
      </c>
      <c r="E131">
        <v>45</v>
      </c>
      <c r="F131" s="3">
        <f t="shared" ref="F131:F151" si="2">E131/D131</f>
        <v>9.719222462203024E-2</v>
      </c>
    </row>
    <row r="132" spans="1:6" x14ac:dyDescent="0.25">
      <c r="A132" t="s">
        <v>53</v>
      </c>
      <c r="B132" t="s">
        <v>6</v>
      </c>
      <c r="C132" t="s">
        <v>8</v>
      </c>
      <c r="D132">
        <v>475</v>
      </c>
      <c r="E132">
        <v>12</v>
      </c>
      <c r="F132" s="3">
        <f t="shared" si="2"/>
        <v>2.5263157894736842E-2</v>
      </c>
    </row>
    <row r="133" spans="1:6" x14ac:dyDescent="0.25">
      <c r="A133" t="s">
        <v>53</v>
      </c>
      <c r="B133" t="s">
        <v>6</v>
      </c>
      <c r="C133" t="s">
        <v>8</v>
      </c>
      <c r="D133">
        <v>404</v>
      </c>
      <c r="E133">
        <v>14</v>
      </c>
      <c r="F133" s="3">
        <f t="shared" si="2"/>
        <v>3.4653465346534656E-2</v>
      </c>
    </row>
    <row r="134" spans="1:6" x14ac:dyDescent="0.25">
      <c r="A134" t="s">
        <v>54</v>
      </c>
      <c r="B134" t="s">
        <v>12</v>
      </c>
      <c r="C134" t="s">
        <v>7</v>
      </c>
      <c r="D134">
        <v>692</v>
      </c>
      <c r="E134">
        <v>17</v>
      </c>
      <c r="F134" s="3">
        <f t="shared" si="2"/>
        <v>2.4566473988439308E-2</v>
      </c>
    </row>
    <row r="135" spans="1:6" x14ac:dyDescent="0.25">
      <c r="A135" t="s">
        <v>54</v>
      </c>
      <c r="B135" t="s">
        <v>9</v>
      </c>
      <c r="C135" t="s">
        <v>7</v>
      </c>
      <c r="D135">
        <v>500</v>
      </c>
      <c r="E135">
        <v>32</v>
      </c>
      <c r="F135" s="3">
        <f t="shared" si="2"/>
        <v>6.4000000000000001E-2</v>
      </c>
    </row>
    <row r="136" spans="1:6" x14ac:dyDescent="0.25">
      <c r="A136" t="s">
        <v>54</v>
      </c>
      <c r="B136" t="s">
        <v>9</v>
      </c>
      <c r="C136" t="s">
        <v>7</v>
      </c>
      <c r="D136">
        <v>694</v>
      </c>
      <c r="E136">
        <v>50</v>
      </c>
      <c r="F136" s="3">
        <f t="shared" si="2"/>
        <v>7.2046109510086456E-2</v>
      </c>
    </row>
    <row r="137" spans="1:6" x14ac:dyDescent="0.25">
      <c r="A137" t="s">
        <v>55</v>
      </c>
      <c r="B137" t="s">
        <v>12</v>
      </c>
      <c r="C137" t="s">
        <v>8</v>
      </c>
      <c r="D137">
        <v>546</v>
      </c>
      <c r="E137">
        <v>33</v>
      </c>
      <c r="F137" s="3">
        <f t="shared" si="2"/>
        <v>6.043956043956044E-2</v>
      </c>
    </row>
    <row r="138" spans="1:6" x14ac:dyDescent="0.25">
      <c r="A138" t="s">
        <v>55</v>
      </c>
      <c r="B138" t="s">
        <v>6</v>
      </c>
      <c r="C138" t="s">
        <v>7</v>
      </c>
      <c r="D138">
        <v>625</v>
      </c>
      <c r="E138">
        <v>40</v>
      </c>
      <c r="F138" s="3">
        <f t="shared" si="2"/>
        <v>6.4000000000000001E-2</v>
      </c>
    </row>
    <row r="139" spans="1:6" x14ac:dyDescent="0.25">
      <c r="A139" t="s">
        <v>55</v>
      </c>
      <c r="B139" t="s">
        <v>6</v>
      </c>
      <c r="C139" t="s">
        <v>7</v>
      </c>
      <c r="D139">
        <v>530</v>
      </c>
      <c r="E139">
        <v>15</v>
      </c>
      <c r="F139" s="3">
        <f t="shared" si="2"/>
        <v>2.8301886792452831E-2</v>
      </c>
    </row>
    <row r="140" spans="1:6" x14ac:dyDescent="0.25">
      <c r="A140" t="s">
        <v>56</v>
      </c>
      <c r="B140" t="s">
        <v>9</v>
      </c>
      <c r="C140" t="s">
        <v>7</v>
      </c>
      <c r="D140">
        <v>685</v>
      </c>
      <c r="E140">
        <v>23</v>
      </c>
      <c r="F140" s="3">
        <f t="shared" si="2"/>
        <v>3.3576642335766425E-2</v>
      </c>
    </row>
    <row r="141" spans="1:6" x14ac:dyDescent="0.25">
      <c r="A141" t="s">
        <v>56</v>
      </c>
      <c r="B141" t="s">
        <v>9</v>
      </c>
      <c r="C141" t="s">
        <v>8</v>
      </c>
      <c r="D141">
        <v>684</v>
      </c>
      <c r="E141">
        <v>11</v>
      </c>
      <c r="F141" s="3">
        <f t="shared" si="2"/>
        <v>1.6081871345029239E-2</v>
      </c>
    </row>
    <row r="142" spans="1:6" x14ac:dyDescent="0.25">
      <c r="A142" t="s">
        <v>56</v>
      </c>
      <c r="B142" t="s">
        <v>6</v>
      </c>
      <c r="C142" t="s">
        <v>7</v>
      </c>
      <c r="D142">
        <v>558</v>
      </c>
      <c r="E142">
        <v>28</v>
      </c>
      <c r="F142" s="3">
        <f t="shared" si="2"/>
        <v>5.0179211469534052E-2</v>
      </c>
    </row>
    <row r="143" spans="1:6" x14ac:dyDescent="0.25">
      <c r="A143" t="s">
        <v>57</v>
      </c>
      <c r="B143" t="s">
        <v>6</v>
      </c>
      <c r="C143" t="s">
        <v>8</v>
      </c>
      <c r="D143">
        <v>561</v>
      </c>
      <c r="E143">
        <v>21</v>
      </c>
      <c r="F143" s="3">
        <f t="shared" si="2"/>
        <v>3.7433155080213901E-2</v>
      </c>
    </row>
    <row r="144" spans="1:6" x14ac:dyDescent="0.25">
      <c r="A144" t="s">
        <v>57</v>
      </c>
      <c r="B144" t="s">
        <v>6</v>
      </c>
      <c r="C144" t="s">
        <v>8</v>
      </c>
      <c r="D144">
        <v>477</v>
      </c>
      <c r="E144">
        <v>23</v>
      </c>
      <c r="F144" s="3">
        <f t="shared" si="2"/>
        <v>4.8218029350104823E-2</v>
      </c>
    </row>
    <row r="145" spans="1:6" x14ac:dyDescent="0.25">
      <c r="A145" t="s">
        <v>57</v>
      </c>
      <c r="B145" t="s">
        <v>12</v>
      </c>
      <c r="C145" t="s">
        <v>7</v>
      </c>
      <c r="D145">
        <v>587</v>
      </c>
      <c r="E145">
        <v>48</v>
      </c>
      <c r="F145" s="3">
        <f t="shared" si="2"/>
        <v>8.1771720613287899E-2</v>
      </c>
    </row>
    <row r="146" spans="1:6" x14ac:dyDescent="0.25">
      <c r="A146" t="s">
        <v>58</v>
      </c>
      <c r="B146" t="s">
        <v>12</v>
      </c>
      <c r="C146" t="s">
        <v>8</v>
      </c>
      <c r="D146">
        <v>649</v>
      </c>
      <c r="E146">
        <v>17</v>
      </c>
      <c r="F146" s="3">
        <f t="shared" si="2"/>
        <v>2.6194144838212634E-2</v>
      </c>
    </row>
    <row r="147" spans="1:6" x14ac:dyDescent="0.25">
      <c r="A147" t="s">
        <v>58</v>
      </c>
      <c r="B147" t="s">
        <v>6</v>
      </c>
      <c r="C147" t="s">
        <v>7</v>
      </c>
      <c r="D147">
        <v>518</v>
      </c>
      <c r="E147">
        <v>11</v>
      </c>
      <c r="F147" s="3">
        <f t="shared" si="2"/>
        <v>2.1235521235521235E-2</v>
      </c>
    </row>
    <row r="148" spans="1:6" x14ac:dyDescent="0.25">
      <c r="A148" t="s">
        <v>58</v>
      </c>
      <c r="B148" t="s">
        <v>6</v>
      </c>
      <c r="C148" t="s">
        <v>7</v>
      </c>
      <c r="D148">
        <v>431</v>
      </c>
      <c r="E148">
        <v>24</v>
      </c>
      <c r="F148" s="3">
        <f t="shared" si="2"/>
        <v>5.5684454756380508E-2</v>
      </c>
    </row>
    <row r="149" spans="1:6" x14ac:dyDescent="0.25">
      <c r="A149" t="s">
        <v>59</v>
      </c>
      <c r="B149" t="s">
        <v>12</v>
      </c>
      <c r="C149" t="s">
        <v>8</v>
      </c>
      <c r="D149">
        <v>529</v>
      </c>
      <c r="E149">
        <v>44</v>
      </c>
      <c r="F149" s="3">
        <f t="shared" si="2"/>
        <v>8.3175803402646506E-2</v>
      </c>
    </row>
    <row r="150" spans="1:6" x14ac:dyDescent="0.25">
      <c r="A150" t="s">
        <v>59</v>
      </c>
      <c r="B150" t="s">
        <v>6</v>
      </c>
      <c r="C150" t="s">
        <v>8</v>
      </c>
      <c r="D150">
        <v>606</v>
      </c>
      <c r="E150">
        <v>46</v>
      </c>
      <c r="F150" s="3">
        <f t="shared" si="2"/>
        <v>7.590759075907591E-2</v>
      </c>
    </row>
    <row r="151" spans="1:6" x14ac:dyDescent="0.25">
      <c r="A151" t="s">
        <v>59</v>
      </c>
      <c r="B151" t="s">
        <v>6</v>
      </c>
      <c r="C151" t="s">
        <v>7</v>
      </c>
      <c r="D151">
        <v>592</v>
      </c>
      <c r="E151">
        <v>24</v>
      </c>
      <c r="F151" s="3">
        <f t="shared" si="2"/>
        <v>4.0540540540540543E-2</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03A73-987D-4799-B1F8-B8334F21AEF0}">
  <dimension ref="A3:L69"/>
  <sheetViews>
    <sheetView topLeftCell="F4" workbookViewId="0">
      <selection activeCell="N13" sqref="N13"/>
    </sheetView>
  </sheetViews>
  <sheetFormatPr defaultRowHeight="15" x14ac:dyDescent="0.25"/>
  <cols>
    <col min="1" max="1" width="13.140625" bestFit="1" customWidth="1"/>
    <col min="2" max="2" width="20.5703125" bestFit="1" customWidth="1"/>
    <col min="3" max="3" width="15.140625" bestFit="1" customWidth="1"/>
    <col min="4" max="4" width="14.42578125" bestFit="1" customWidth="1"/>
    <col min="6" max="6" width="13.140625" bestFit="1" customWidth="1"/>
    <col min="7" max="7" width="20.5703125" bestFit="1" customWidth="1"/>
    <col min="11" max="11" width="13.140625" bestFit="1" customWidth="1"/>
    <col min="12" max="12" width="15.140625" bestFit="1" customWidth="1"/>
  </cols>
  <sheetData>
    <row r="3" spans="1:12" x14ac:dyDescent="0.25">
      <c r="A3" s="4" t="s">
        <v>61</v>
      </c>
      <c r="B3" t="s">
        <v>63</v>
      </c>
    </row>
    <row r="4" spans="1:12" x14ac:dyDescent="0.25">
      <c r="A4" s="5" t="s">
        <v>6</v>
      </c>
      <c r="B4" s="6">
        <v>34953</v>
      </c>
    </row>
    <row r="5" spans="1:12" x14ac:dyDescent="0.25">
      <c r="A5" s="5" t="s">
        <v>9</v>
      </c>
      <c r="B5" s="6">
        <v>24682</v>
      </c>
      <c r="C5" t="s">
        <v>69</v>
      </c>
    </row>
    <row r="6" spans="1:12" x14ac:dyDescent="0.25">
      <c r="A6" s="5" t="s">
        <v>12</v>
      </c>
      <c r="B6" s="6">
        <v>22236</v>
      </c>
    </row>
    <row r="7" spans="1:12" x14ac:dyDescent="0.25">
      <c r="A7" s="5" t="s">
        <v>62</v>
      </c>
      <c r="B7" s="6">
        <v>81871</v>
      </c>
    </row>
    <row r="10" spans="1:12" x14ac:dyDescent="0.25">
      <c r="K10" s="4" t="s">
        <v>61</v>
      </c>
      <c r="L10" t="s">
        <v>65</v>
      </c>
    </row>
    <row r="11" spans="1:12" x14ac:dyDescent="0.25">
      <c r="A11" s="4" t="s">
        <v>61</v>
      </c>
      <c r="B11" t="s">
        <v>64</v>
      </c>
      <c r="C11" t="s">
        <v>65</v>
      </c>
      <c r="K11" s="5" t="s">
        <v>6</v>
      </c>
      <c r="L11" s="6">
        <v>347.8230309501331</v>
      </c>
    </row>
    <row r="12" spans="1:12" x14ac:dyDescent="0.25">
      <c r="A12" s="5" t="s">
        <v>6</v>
      </c>
      <c r="B12" s="6">
        <v>1863</v>
      </c>
      <c r="C12" s="6">
        <v>347.8230309501331</v>
      </c>
      <c r="K12" s="5" t="s">
        <v>9</v>
      </c>
      <c r="L12" s="6">
        <v>232.68086236885097</v>
      </c>
    </row>
    <row r="13" spans="1:12" x14ac:dyDescent="0.25">
      <c r="A13" s="5" t="s">
        <v>9</v>
      </c>
      <c r="B13" s="6">
        <v>1232</v>
      </c>
      <c r="C13" s="6">
        <v>232.68086236885097</v>
      </c>
      <c r="D13" t="s">
        <v>68</v>
      </c>
      <c r="K13" s="5" t="s">
        <v>12</v>
      </c>
      <c r="L13" s="6">
        <v>222.877889230314</v>
      </c>
    </row>
    <row r="14" spans="1:12" x14ac:dyDescent="0.25">
      <c r="A14" s="5" t="s">
        <v>12</v>
      </c>
      <c r="B14" s="6">
        <v>1184</v>
      </c>
      <c r="C14" s="6">
        <v>222.877889230314</v>
      </c>
      <c r="K14" s="5" t="s">
        <v>62</v>
      </c>
      <c r="L14" s="6">
        <v>803.38178254929812</v>
      </c>
    </row>
    <row r="15" spans="1:12" x14ac:dyDescent="0.25">
      <c r="A15" s="5" t="s">
        <v>62</v>
      </c>
      <c r="B15" s="6">
        <v>4279</v>
      </c>
      <c r="C15" s="6">
        <v>803.38178254929812</v>
      </c>
    </row>
    <row r="18" spans="1:7" x14ac:dyDescent="0.25">
      <c r="A18" s="4" t="s">
        <v>61</v>
      </c>
      <c r="B18" t="s">
        <v>63</v>
      </c>
    </row>
    <row r="19" spans="1:7" x14ac:dyDescent="0.25">
      <c r="A19" s="5" t="s">
        <v>5</v>
      </c>
      <c r="B19" s="6">
        <v>1446</v>
      </c>
    </row>
    <row r="20" spans="1:7" x14ac:dyDescent="0.25">
      <c r="A20" s="5" t="s">
        <v>41</v>
      </c>
      <c r="B20" s="6">
        <v>1613</v>
      </c>
      <c r="F20" s="4" t="s">
        <v>61</v>
      </c>
      <c r="G20" t="s">
        <v>63</v>
      </c>
    </row>
    <row r="21" spans="1:7" x14ac:dyDescent="0.25">
      <c r="A21" s="5" t="s">
        <v>10</v>
      </c>
      <c r="B21" s="6">
        <v>1776</v>
      </c>
      <c r="F21" s="5" t="s">
        <v>6</v>
      </c>
      <c r="G21" s="6">
        <v>34953</v>
      </c>
    </row>
    <row r="22" spans="1:7" x14ac:dyDescent="0.25">
      <c r="A22" s="5" t="s">
        <v>42</v>
      </c>
      <c r="B22" s="6">
        <v>1608</v>
      </c>
      <c r="F22" s="5" t="s">
        <v>9</v>
      </c>
      <c r="G22" s="6">
        <v>24682</v>
      </c>
    </row>
    <row r="23" spans="1:7" x14ac:dyDescent="0.25">
      <c r="A23" s="5" t="s">
        <v>11</v>
      </c>
      <c r="B23" s="6">
        <v>1465</v>
      </c>
      <c r="F23" s="5" t="s">
        <v>12</v>
      </c>
      <c r="G23" s="6">
        <v>22236</v>
      </c>
    </row>
    <row r="24" spans="1:7" x14ac:dyDescent="0.25">
      <c r="A24" s="5" t="s">
        <v>43</v>
      </c>
      <c r="B24" s="6">
        <v>1861</v>
      </c>
      <c r="F24" s="5" t="s">
        <v>62</v>
      </c>
      <c r="G24" s="6">
        <v>81871</v>
      </c>
    </row>
    <row r="25" spans="1:7" x14ac:dyDescent="0.25">
      <c r="A25" s="5" t="s">
        <v>13</v>
      </c>
      <c r="B25" s="6">
        <v>1504</v>
      </c>
      <c r="C25" t="s">
        <v>67</v>
      </c>
    </row>
    <row r="26" spans="1:7" x14ac:dyDescent="0.25">
      <c r="A26" s="5" t="s">
        <v>44</v>
      </c>
      <c r="B26" s="6">
        <v>1426</v>
      </c>
    </row>
    <row r="27" spans="1:7" x14ac:dyDescent="0.25">
      <c r="A27" s="5" t="s">
        <v>14</v>
      </c>
      <c r="B27" s="6">
        <v>1777</v>
      </c>
    </row>
    <row r="28" spans="1:7" x14ac:dyDescent="0.25">
      <c r="A28" s="5" t="s">
        <v>45</v>
      </c>
      <c r="B28" s="6">
        <v>1647</v>
      </c>
    </row>
    <row r="29" spans="1:7" x14ac:dyDescent="0.25">
      <c r="A29" s="5" t="s">
        <v>15</v>
      </c>
      <c r="B29" s="6">
        <v>1872</v>
      </c>
    </row>
    <row r="30" spans="1:7" x14ac:dyDescent="0.25">
      <c r="A30" s="5" t="s">
        <v>46</v>
      </c>
      <c r="B30" s="6">
        <v>1647</v>
      </c>
    </row>
    <row r="31" spans="1:7" x14ac:dyDescent="0.25">
      <c r="A31" s="5" t="s">
        <v>16</v>
      </c>
      <c r="B31" s="6">
        <v>1491</v>
      </c>
    </row>
    <row r="32" spans="1:7" x14ac:dyDescent="0.25">
      <c r="A32" s="5" t="s">
        <v>47</v>
      </c>
      <c r="B32" s="6">
        <v>1704</v>
      </c>
    </row>
    <row r="33" spans="1:2" x14ac:dyDescent="0.25">
      <c r="A33" s="5" t="s">
        <v>17</v>
      </c>
      <c r="B33" s="6">
        <v>1775</v>
      </c>
    </row>
    <row r="34" spans="1:2" x14ac:dyDescent="0.25">
      <c r="A34" s="5" t="s">
        <v>48</v>
      </c>
      <c r="B34" s="6">
        <v>1666</v>
      </c>
    </row>
    <row r="35" spans="1:2" x14ac:dyDescent="0.25">
      <c r="A35" s="5" t="s">
        <v>18</v>
      </c>
      <c r="B35" s="6">
        <v>1790</v>
      </c>
    </row>
    <row r="36" spans="1:2" x14ac:dyDescent="0.25">
      <c r="A36" s="5" t="s">
        <v>49</v>
      </c>
      <c r="B36" s="6">
        <v>1435</v>
      </c>
    </row>
    <row r="37" spans="1:2" x14ac:dyDescent="0.25">
      <c r="A37" s="5" t="s">
        <v>19</v>
      </c>
      <c r="B37" s="6">
        <v>1862</v>
      </c>
    </row>
    <row r="38" spans="1:2" x14ac:dyDescent="0.25">
      <c r="A38" s="5" t="s">
        <v>50</v>
      </c>
      <c r="B38" s="6">
        <v>1814</v>
      </c>
    </row>
    <row r="39" spans="1:2" x14ac:dyDescent="0.25">
      <c r="A39" s="5" t="s">
        <v>20</v>
      </c>
      <c r="B39" s="6">
        <v>1904</v>
      </c>
    </row>
    <row r="40" spans="1:2" x14ac:dyDescent="0.25">
      <c r="A40" s="5" t="s">
        <v>51</v>
      </c>
      <c r="B40" s="6">
        <v>1769</v>
      </c>
    </row>
    <row r="41" spans="1:2" x14ac:dyDescent="0.25">
      <c r="A41" s="5" t="s">
        <v>21</v>
      </c>
      <c r="B41" s="6">
        <v>1844</v>
      </c>
    </row>
    <row r="42" spans="1:2" x14ac:dyDescent="0.25">
      <c r="A42" s="5" t="s">
        <v>52</v>
      </c>
      <c r="B42" s="6">
        <v>1542</v>
      </c>
    </row>
    <row r="43" spans="1:2" x14ac:dyDescent="0.25">
      <c r="A43" s="5" t="s">
        <v>22</v>
      </c>
      <c r="B43" s="6">
        <v>1579</v>
      </c>
    </row>
    <row r="44" spans="1:2" x14ac:dyDescent="0.25">
      <c r="A44" s="5" t="s">
        <v>53</v>
      </c>
      <c r="B44" s="6">
        <v>1342</v>
      </c>
    </row>
    <row r="45" spans="1:2" x14ac:dyDescent="0.25">
      <c r="A45" s="5" t="s">
        <v>23</v>
      </c>
      <c r="B45" s="6">
        <v>1836</v>
      </c>
    </row>
    <row r="46" spans="1:2" x14ac:dyDescent="0.25">
      <c r="A46" s="5" t="s">
        <v>54</v>
      </c>
      <c r="B46" s="6">
        <v>1886</v>
      </c>
    </row>
    <row r="47" spans="1:2" x14ac:dyDescent="0.25">
      <c r="A47" s="5" t="s">
        <v>24</v>
      </c>
      <c r="B47" s="6">
        <v>1482</v>
      </c>
    </row>
    <row r="48" spans="1:2" x14ac:dyDescent="0.25">
      <c r="A48" s="5" t="s">
        <v>55</v>
      </c>
      <c r="B48" s="6">
        <v>1701</v>
      </c>
    </row>
    <row r="49" spans="1:2" x14ac:dyDescent="0.25">
      <c r="A49" s="5" t="s">
        <v>25</v>
      </c>
      <c r="B49" s="6">
        <v>1802</v>
      </c>
    </row>
    <row r="50" spans="1:2" x14ac:dyDescent="0.25">
      <c r="A50" s="5" t="s">
        <v>56</v>
      </c>
      <c r="B50" s="6">
        <v>1927</v>
      </c>
    </row>
    <row r="51" spans="1:2" x14ac:dyDescent="0.25">
      <c r="A51" s="5" t="s">
        <v>26</v>
      </c>
      <c r="B51" s="6">
        <v>1553</v>
      </c>
    </row>
    <row r="52" spans="1:2" x14ac:dyDescent="0.25">
      <c r="A52" s="5" t="s">
        <v>57</v>
      </c>
      <c r="B52" s="6">
        <v>1625</v>
      </c>
    </row>
    <row r="53" spans="1:2" x14ac:dyDescent="0.25">
      <c r="A53" s="5" t="s">
        <v>27</v>
      </c>
      <c r="B53" s="6">
        <v>1633</v>
      </c>
    </row>
    <row r="54" spans="1:2" x14ac:dyDescent="0.25">
      <c r="A54" s="5" t="s">
        <v>58</v>
      </c>
      <c r="B54" s="6">
        <v>1598</v>
      </c>
    </row>
    <row r="55" spans="1:2" x14ac:dyDescent="0.25">
      <c r="A55" s="5" t="s">
        <v>28</v>
      </c>
      <c r="B55" s="6">
        <v>1781</v>
      </c>
    </row>
    <row r="56" spans="1:2" x14ac:dyDescent="0.25">
      <c r="A56" s="5" t="s">
        <v>59</v>
      </c>
      <c r="B56" s="6">
        <v>1727</v>
      </c>
    </row>
    <row r="57" spans="1:2" x14ac:dyDescent="0.25">
      <c r="A57" s="5" t="s">
        <v>29</v>
      </c>
      <c r="B57" s="6">
        <v>1792</v>
      </c>
    </row>
    <row r="58" spans="1:2" x14ac:dyDescent="0.25">
      <c r="A58" s="5" t="s">
        <v>30</v>
      </c>
      <c r="B58" s="6">
        <v>1413</v>
      </c>
    </row>
    <row r="59" spans="1:2" x14ac:dyDescent="0.25">
      <c r="A59" s="5" t="s">
        <v>31</v>
      </c>
      <c r="B59" s="6">
        <v>1712</v>
      </c>
    </row>
    <row r="60" spans="1:2" x14ac:dyDescent="0.25">
      <c r="A60" s="5" t="s">
        <v>32</v>
      </c>
      <c r="B60" s="6">
        <v>1328</v>
      </c>
    </row>
    <row r="61" spans="1:2" x14ac:dyDescent="0.25">
      <c r="A61" s="5" t="s">
        <v>33</v>
      </c>
      <c r="B61" s="6">
        <v>1540</v>
      </c>
    </row>
    <row r="62" spans="1:2" x14ac:dyDescent="0.25">
      <c r="A62" s="5" t="s">
        <v>34</v>
      </c>
      <c r="B62" s="6">
        <v>1345</v>
      </c>
    </row>
    <row r="63" spans="1:2" x14ac:dyDescent="0.25">
      <c r="A63" s="5" t="s">
        <v>35</v>
      </c>
      <c r="B63" s="6">
        <v>1327</v>
      </c>
    </row>
    <row r="64" spans="1:2" x14ac:dyDescent="0.25">
      <c r="A64" s="5" t="s">
        <v>36</v>
      </c>
      <c r="B64" s="6">
        <v>1324</v>
      </c>
    </row>
    <row r="65" spans="1:2" x14ac:dyDescent="0.25">
      <c r="A65" s="5" t="s">
        <v>37</v>
      </c>
      <c r="B65" s="6">
        <v>1790</v>
      </c>
    </row>
    <row r="66" spans="1:2" x14ac:dyDescent="0.25">
      <c r="A66" s="5" t="s">
        <v>38</v>
      </c>
      <c r="B66" s="6">
        <v>1664</v>
      </c>
    </row>
    <row r="67" spans="1:2" x14ac:dyDescent="0.25">
      <c r="A67" s="5" t="s">
        <v>39</v>
      </c>
      <c r="B67" s="6">
        <v>1422</v>
      </c>
    </row>
    <row r="68" spans="1:2" x14ac:dyDescent="0.25">
      <c r="A68" s="5" t="s">
        <v>40</v>
      </c>
      <c r="B68" s="6">
        <v>1504</v>
      </c>
    </row>
    <row r="69" spans="1:2" x14ac:dyDescent="0.25">
      <c r="A69" s="5" t="s">
        <v>62</v>
      </c>
      <c r="B69" s="6">
        <v>81871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099D5-07EB-4EE8-9354-32AC21C76FB3}">
  <dimension ref="A1:Y28"/>
  <sheetViews>
    <sheetView showGridLines="0" tabSelected="1" zoomScaleNormal="100" workbookViewId="0">
      <selection sqref="A1:Y3"/>
    </sheetView>
  </sheetViews>
  <sheetFormatPr defaultRowHeight="15" x14ac:dyDescent="0.25"/>
  <cols>
    <col min="9" max="9" width="2.7109375" customWidth="1"/>
    <col min="14" max="14" width="15.7109375" bestFit="1" customWidth="1"/>
    <col min="17" max="17" width="6.85546875" customWidth="1"/>
    <col min="24" max="24" width="11.140625" customWidth="1"/>
  </cols>
  <sheetData>
    <row r="1" spans="1:25" x14ac:dyDescent="0.25">
      <c r="A1" s="30" t="s">
        <v>66</v>
      </c>
      <c r="B1" s="31"/>
      <c r="C1" s="31"/>
      <c r="D1" s="31"/>
      <c r="E1" s="31"/>
      <c r="F1" s="31"/>
      <c r="G1" s="31"/>
      <c r="H1" s="31"/>
      <c r="I1" s="31"/>
      <c r="J1" s="31"/>
      <c r="K1" s="31"/>
      <c r="L1" s="31"/>
      <c r="M1" s="31"/>
      <c r="N1" s="31"/>
      <c r="O1" s="31"/>
      <c r="P1" s="31"/>
      <c r="Q1" s="31"/>
      <c r="R1" s="31"/>
      <c r="S1" s="31"/>
      <c r="T1" s="31"/>
      <c r="U1" s="31"/>
      <c r="V1" s="31"/>
      <c r="W1" s="31"/>
      <c r="X1" s="31"/>
      <c r="Y1" s="32"/>
    </row>
    <row r="2" spans="1:25" x14ac:dyDescent="0.25">
      <c r="A2" s="33"/>
      <c r="B2" s="34"/>
      <c r="C2" s="34"/>
      <c r="D2" s="34"/>
      <c r="E2" s="34"/>
      <c r="F2" s="34"/>
      <c r="G2" s="34"/>
      <c r="H2" s="34"/>
      <c r="I2" s="34"/>
      <c r="J2" s="34"/>
      <c r="K2" s="34"/>
      <c r="L2" s="34"/>
      <c r="M2" s="34"/>
      <c r="N2" s="34"/>
      <c r="O2" s="34"/>
      <c r="P2" s="34"/>
      <c r="Q2" s="34"/>
      <c r="R2" s="34"/>
      <c r="S2" s="34"/>
      <c r="T2" s="34"/>
      <c r="U2" s="34"/>
      <c r="V2" s="34"/>
      <c r="W2" s="34"/>
      <c r="X2" s="34"/>
      <c r="Y2" s="35"/>
    </row>
    <row r="3" spans="1:25" x14ac:dyDescent="0.25">
      <c r="A3" s="36"/>
      <c r="B3" s="37"/>
      <c r="C3" s="37"/>
      <c r="D3" s="37"/>
      <c r="E3" s="37"/>
      <c r="F3" s="37"/>
      <c r="G3" s="37"/>
      <c r="H3" s="37"/>
      <c r="I3" s="37"/>
      <c r="J3" s="37"/>
      <c r="K3" s="37"/>
      <c r="L3" s="37"/>
      <c r="M3" s="37"/>
      <c r="N3" s="37"/>
      <c r="O3" s="37"/>
      <c r="P3" s="37"/>
      <c r="Q3" s="37"/>
      <c r="R3" s="37"/>
      <c r="S3" s="37"/>
      <c r="T3" s="37"/>
      <c r="U3" s="37"/>
      <c r="V3" s="37"/>
      <c r="W3" s="37"/>
      <c r="X3" s="37"/>
      <c r="Y3" s="38"/>
    </row>
    <row r="4" spans="1:25" x14ac:dyDescent="0.25">
      <c r="Q4" s="16"/>
      <c r="R4" s="17"/>
      <c r="S4" s="17"/>
      <c r="T4" s="17"/>
      <c r="U4" s="17"/>
      <c r="V4" s="18"/>
    </row>
    <row r="5" spans="1:25" x14ac:dyDescent="0.25">
      <c r="Q5" s="19"/>
      <c r="R5" s="20"/>
      <c r="S5" s="20"/>
      <c r="T5" s="20"/>
      <c r="U5" s="20"/>
      <c r="V5" s="21"/>
    </row>
    <row r="6" spans="1:25" x14ac:dyDescent="0.25">
      <c r="Q6" s="19"/>
      <c r="R6" s="20"/>
      <c r="S6" s="20"/>
      <c r="T6" s="20"/>
      <c r="U6" s="20"/>
      <c r="V6" s="21"/>
    </row>
    <row r="7" spans="1:25" x14ac:dyDescent="0.25">
      <c r="Q7" s="19"/>
      <c r="R7" s="20"/>
      <c r="S7" s="20"/>
      <c r="T7" s="20"/>
      <c r="U7" s="20"/>
      <c r="V7" s="21"/>
    </row>
    <row r="8" spans="1:25" x14ac:dyDescent="0.25">
      <c r="Q8" s="19"/>
      <c r="R8" s="20"/>
      <c r="S8" s="20"/>
      <c r="T8" s="20"/>
      <c r="U8" s="20"/>
      <c r="V8" s="21"/>
    </row>
    <row r="9" spans="1:25" x14ac:dyDescent="0.25">
      <c r="Q9" s="19"/>
      <c r="R9" s="20"/>
      <c r="S9" s="20"/>
      <c r="T9" s="20"/>
      <c r="U9" s="20"/>
      <c r="V9" s="21"/>
    </row>
    <row r="10" spans="1:25" x14ac:dyDescent="0.25">
      <c r="Q10" s="19"/>
      <c r="R10" s="20"/>
      <c r="S10" s="20"/>
      <c r="T10" s="20"/>
      <c r="U10" s="20"/>
      <c r="V10" s="21"/>
    </row>
    <row r="11" spans="1:25" x14ac:dyDescent="0.25">
      <c r="Q11" s="19"/>
      <c r="R11" s="20"/>
      <c r="S11" s="20"/>
      <c r="T11" s="20"/>
      <c r="U11" s="20"/>
      <c r="V11" s="21"/>
    </row>
    <row r="12" spans="1:25" x14ac:dyDescent="0.25">
      <c r="Q12" s="19"/>
      <c r="R12" s="20"/>
      <c r="S12" s="20"/>
      <c r="T12" s="20"/>
      <c r="U12" s="20"/>
      <c r="V12" s="21"/>
    </row>
    <row r="13" spans="1:25" x14ac:dyDescent="0.25">
      <c r="Q13" s="19"/>
      <c r="R13" s="20"/>
      <c r="S13" s="20"/>
      <c r="T13" s="20"/>
      <c r="U13" s="20"/>
      <c r="V13" s="21"/>
    </row>
    <row r="14" spans="1:25" x14ac:dyDescent="0.25">
      <c r="Q14" s="19"/>
      <c r="R14" s="20"/>
      <c r="S14" s="20"/>
      <c r="T14" s="20"/>
      <c r="U14" s="20"/>
      <c r="V14" s="21"/>
    </row>
    <row r="15" spans="1:25" x14ac:dyDescent="0.25">
      <c r="Q15" s="19"/>
      <c r="R15" s="20"/>
      <c r="S15" s="20"/>
      <c r="T15" s="20"/>
      <c r="U15" s="20"/>
      <c r="V15" s="21"/>
    </row>
    <row r="16" spans="1:25" x14ac:dyDescent="0.25">
      <c r="Q16" s="19"/>
      <c r="R16" s="20"/>
      <c r="S16" s="20"/>
      <c r="T16" s="20"/>
      <c r="U16" s="20"/>
      <c r="V16" s="21"/>
    </row>
    <row r="17" spans="14:22" x14ac:dyDescent="0.25">
      <c r="N17" s="13"/>
      <c r="O17" s="14"/>
      <c r="P17" s="15"/>
      <c r="Q17" s="19"/>
      <c r="R17" s="20"/>
      <c r="S17" s="20"/>
      <c r="T17" s="20"/>
      <c r="U17" s="20"/>
      <c r="V17" s="21"/>
    </row>
    <row r="18" spans="14:22" ht="36" customHeight="1" x14ac:dyDescent="0.25">
      <c r="N18" s="27" t="s">
        <v>70</v>
      </c>
      <c r="O18" s="26">
        <f>SUM('Production Data'!D2:D151)</f>
        <v>81934</v>
      </c>
      <c r="P18" s="26"/>
      <c r="Q18" s="20"/>
      <c r="R18" s="20"/>
      <c r="S18" s="20"/>
      <c r="T18" s="20"/>
      <c r="U18" s="20"/>
      <c r="V18" s="21"/>
    </row>
    <row r="19" spans="14:22" ht="15" customHeight="1" x14ac:dyDescent="0.25">
      <c r="N19" s="27"/>
      <c r="O19" s="26"/>
      <c r="P19" s="26"/>
      <c r="Q19" s="20"/>
      <c r="R19" s="20"/>
      <c r="S19" s="20"/>
      <c r="T19" s="20"/>
      <c r="U19" s="20"/>
      <c r="V19" s="21"/>
    </row>
    <row r="20" spans="14:22" ht="15" customHeight="1" x14ac:dyDescent="0.25">
      <c r="N20" s="27"/>
      <c r="O20" s="26"/>
      <c r="P20" s="26"/>
      <c r="Q20" s="20"/>
      <c r="R20" s="20"/>
      <c r="S20" s="20"/>
      <c r="T20" s="20"/>
      <c r="U20" s="20"/>
      <c r="V20" s="21"/>
    </row>
    <row r="21" spans="14:22" x14ac:dyDescent="0.25">
      <c r="N21" s="27" t="s">
        <v>71</v>
      </c>
      <c r="O21" s="28">
        <f>SUM('Production Data'!E2:E151)</f>
        <v>4278</v>
      </c>
      <c r="P21" s="28"/>
      <c r="Q21" s="20"/>
      <c r="R21" s="20"/>
      <c r="S21" s="20"/>
      <c r="T21" s="20"/>
      <c r="U21" s="20"/>
      <c r="V21" s="21"/>
    </row>
    <row r="22" spans="14:22" x14ac:dyDescent="0.25">
      <c r="N22" s="27"/>
      <c r="O22" s="28"/>
      <c r="P22" s="28"/>
      <c r="Q22" s="20"/>
      <c r="R22" s="20"/>
      <c r="S22" s="20"/>
      <c r="T22" s="20"/>
      <c r="U22" s="20"/>
      <c r="V22" s="21"/>
    </row>
    <row r="23" spans="14:22" x14ac:dyDescent="0.25">
      <c r="N23" s="25" t="s">
        <v>72</v>
      </c>
      <c r="O23" s="25"/>
      <c r="P23" s="25"/>
      <c r="Q23" s="20"/>
      <c r="R23" s="20"/>
      <c r="S23" s="20"/>
      <c r="T23" s="20"/>
      <c r="U23" s="20"/>
      <c r="V23" s="21"/>
    </row>
    <row r="24" spans="14:22" x14ac:dyDescent="0.25">
      <c r="N24" s="8" t="s">
        <v>6</v>
      </c>
      <c r="O24" s="29"/>
      <c r="P24" s="29"/>
      <c r="Q24" s="20"/>
      <c r="R24" s="20"/>
      <c r="S24" s="20"/>
      <c r="T24" s="20"/>
      <c r="U24" s="20"/>
      <c r="V24" s="21"/>
    </row>
    <row r="25" spans="14:22" x14ac:dyDescent="0.25">
      <c r="N25" s="8" t="s">
        <v>9</v>
      </c>
      <c r="O25" s="29"/>
      <c r="P25" s="29"/>
      <c r="Q25" s="20"/>
      <c r="R25" s="20"/>
      <c r="S25" s="20"/>
      <c r="T25" s="20"/>
      <c r="U25" s="20"/>
      <c r="V25" s="21"/>
    </row>
    <row r="26" spans="14:22" x14ac:dyDescent="0.25">
      <c r="N26" s="8" t="s">
        <v>12</v>
      </c>
      <c r="O26" s="29"/>
      <c r="P26" s="29"/>
      <c r="Q26" s="20"/>
      <c r="R26" s="20"/>
      <c r="S26" s="20"/>
      <c r="T26" s="20"/>
      <c r="U26" s="20"/>
      <c r="V26" s="21"/>
    </row>
    <row r="27" spans="14:22" x14ac:dyDescent="0.25">
      <c r="N27" s="7"/>
      <c r="O27" s="8"/>
      <c r="P27" s="9"/>
      <c r="Q27" s="19"/>
      <c r="R27" s="20"/>
      <c r="S27" s="20"/>
      <c r="T27" s="20"/>
      <c r="U27" s="20"/>
      <c r="V27" s="21"/>
    </row>
    <row r="28" spans="14:22" x14ac:dyDescent="0.25">
      <c r="N28" s="10"/>
      <c r="O28" s="11"/>
      <c r="P28" s="12"/>
      <c r="Q28" s="22"/>
      <c r="R28" s="23"/>
      <c r="S28" s="23"/>
      <c r="T28" s="23"/>
      <c r="U28" s="23"/>
      <c r="V28" s="24"/>
    </row>
  </sheetData>
  <mergeCells count="10">
    <mergeCell ref="A1:Y3"/>
    <mergeCell ref="Q4:V28"/>
    <mergeCell ref="O21:P22"/>
    <mergeCell ref="N21:N22"/>
    <mergeCell ref="N23:P23"/>
    <mergeCell ref="N18:N20"/>
    <mergeCell ref="O18:P20"/>
    <mergeCell ref="O24:P24"/>
    <mergeCell ref="O25:P25"/>
    <mergeCell ref="O26:P2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Production Data</vt:lpstr>
      <vt:lpstr>Pivot Table</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cp:lastModifiedBy>
  <cp:lastPrinted>2026-03-30T06:41:42Z</cp:lastPrinted>
  <dcterms:created xsi:type="dcterms:W3CDTF">2026-03-30T03:48:24Z</dcterms:created>
  <dcterms:modified xsi:type="dcterms:W3CDTF">2026-03-30T10:34:31Z</dcterms:modified>
</cp:coreProperties>
</file>